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16\エンジニアリング\05教育\2025年度新卒\2504_新入社員研修\3_カリキュラム\0414_技術研修\03_情報システム\0423_1_Excel、Excelマクロ\新卒展開用資料\練習問題\Excel活用編_問題集\Excel関数編\IF関数\"/>
    </mc:Choice>
  </mc:AlternateContent>
  <bookViews>
    <workbookView xWindow="0" yWindow="0" windowWidth="23040" windowHeight="9528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F194" i="1" l="1"/>
  <c r="F195" i="1"/>
  <c r="F196" i="1"/>
  <c r="F197" i="1"/>
  <c r="F198" i="1"/>
  <c r="F199" i="1"/>
  <c r="M200" i="1"/>
  <c r="L200" i="1"/>
  <c r="E200" i="1"/>
  <c r="D200" i="1"/>
  <c r="F181" i="1"/>
  <c r="F182" i="1"/>
  <c r="F183" i="1"/>
  <c r="F184" i="1"/>
  <c r="F185" i="1"/>
  <c r="F186" i="1"/>
  <c r="E187" i="1"/>
  <c r="D187" i="1"/>
  <c r="C142" i="1"/>
  <c r="F166" i="1" s="1"/>
  <c r="D135" i="1"/>
  <c r="E135" i="1" s="1"/>
  <c r="D141" i="1"/>
  <c r="E141" i="1" s="1"/>
  <c r="D140" i="1"/>
  <c r="E140" i="1" s="1"/>
  <c r="D139" i="1"/>
  <c r="E139" i="1" s="1"/>
  <c r="D138" i="1"/>
  <c r="E138" i="1" s="1"/>
  <c r="D137" i="1"/>
  <c r="E137" i="1" s="1"/>
  <c r="D136" i="1"/>
  <c r="E136" i="1" s="1"/>
  <c r="D134" i="1"/>
  <c r="E134" i="1" s="1"/>
  <c r="F100" i="1"/>
  <c r="G100" i="1" s="1"/>
  <c r="F101" i="1"/>
  <c r="F102" i="1"/>
  <c r="G102" i="1" s="1"/>
  <c r="F103" i="1"/>
  <c r="G103" i="1" s="1"/>
  <c r="F104" i="1"/>
  <c r="G104" i="1" s="1"/>
  <c r="F105" i="1"/>
  <c r="G105" i="1" s="1"/>
  <c r="F106" i="1"/>
  <c r="G106" i="1" s="1"/>
  <c r="F107" i="1"/>
  <c r="G107" i="1" s="1"/>
  <c r="N107" i="1"/>
  <c r="N106" i="1"/>
  <c r="N105" i="1"/>
  <c r="N104" i="1"/>
  <c r="N103" i="1"/>
  <c r="N102" i="1"/>
  <c r="N101" i="1"/>
  <c r="N100" i="1"/>
  <c r="M55" i="1"/>
  <c r="M56" i="1"/>
  <c r="M57" i="1"/>
  <c r="M58" i="1"/>
  <c r="M59" i="1"/>
  <c r="M60" i="1"/>
  <c r="M61" i="1"/>
  <c r="M62" i="1"/>
  <c r="E120" i="1" l="1"/>
  <c r="F160" i="1"/>
  <c r="F154" i="1"/>
  <c r="F200" i="1"/>
  <c r="E119" i="1"/>
  <c r="F187" i="1"/>
  <c r="G101" i="1"/>
  <c r="E121" i="1"/>
</calcChain>
</file>

<file path=xl/comments1.xml><?xml version="1.0" encoding="utf-8"?>
<comments xmlns="http://schemas.openxmlformats.org/spreadsheetml/2006/main">
  <authors>
    <author>根津良彦</author>
    <author>FJ-USER</author>
  </authors>
  <commentList>
    <comment ref="M55" authorId="0" shapeId="0">
      <text>
        <r>
          <rPr>
            <sz val="11"/>
            <color indexed="81"/>
            <rFont val="ＭＳ Ｐゴシック"/>
            <family val="3"/>
            <charset val="128"/>
          </rPr>
          <t>=</t>
        </r>
        <r>
          <rPr>
            <sz val="11"/>
            <color indexed="10"/>
            <rFont val="ＭＳ Ｐゴシック"/>
            <family val="3"/>
            <charset val="128"/>
          </rPr>
          <t>IF</t>
        </r>
        <r>
          <rPr>
            <sz val="11"/>
            <color indexed="8"/>
            <rFont val="ＭＳ Ｐゴシック"/>
            <family val="3"/>
            <charset val="128"/>
          </rPr>
          <t>(</t>
        </r>
        <r>
          <rPr>
            <b/>
            <sz val="11"/>
            <color indexed="12"/>
            <rFont val="ＭＳ Ｐゴシック"/>
            <family val="3"/>
            <charset val="128"/>
          </rPr>
          <t>L55&gt;=150</t>
        </r>
        <r>
          <rPr>
            <sz val="11"/>
            <color indexed="81"/>
            <rFont val="ＭＳ Ｐゴシック"/>
            <family val="3"/>
            <charset val="128"/>
          </rPr>
          <t>,"合格","不合格")</t>
        </r>
      </text>
    </comment>
    <comment ref="G100" authorId="0" shapeId="0">
      <text>
        <r>
          <rPr>
            <sz val="11"/>
            <color indexed="81"/>
            <rFont val="ＭＳ Ｐゴシック"/>
            <family val="3"/>
            <charset val="128"/>
          </rPr>
          <t>=</t>
        </r>
        <r>
          <rPr>
            <sz val="11"/>
            <color indexed="10"/>
            <rFont val="ＭＳ Ｐゴシック"/>
            <family val="3"/>
            <charset val="128"/>
          </rPr>
          <t>IF</t>
        </r>
        <r>
          <rPr>
            <sz val="11"/>
            <color indexed="81"/>
            <rFont val="ＭＳ Ｐゴシック"/>
            <family val="3"/>
            <charset val="128"/>
          </rPr>
          <t>(</t>
        </r>
        <r>
          <rPr>
            <b/>
            <sz val="11"/>
            <color indexed="12"/>
            <rFont val="ＭＳ Ｐゴシック"/>
            <family val="3"/>
            <charset val="128"/>
          </rPr>
          <t>F100&gt;=150</t>
        </r>
        <r>
          <rPr>
            <sz val="11"/>
            <color indexed="81"/>
            <rFont val="ＭＳ Ｐゴシック"/>
            <family val="3"/>
            <charset val="128"/>
          </rPr>
          <t>,"合格","不合格")</t>
        </r>
      </text>
    </comment>
    <comment ref="E119" authorId="0" shapeId="0">
      <text>
        <r>
          <rPr>
            <sz val="11"/>
            <color indexed="81"/>
            <rFont val="ＭＳ Ｐゴシック"/>
            <family val="3"/>
            <charset val="128"/>
          </rPr>
          <t>=</t>
        </r>
        <r>
          <rPr>
            <sz val="11"/>
            <color indexed="10"/>
            <rFont val="ＭＳ Ｐゴシック"/>
            <family val="3"/>
            <charset val="128"/>
          </rPr>
          <t>LARGE</t>
        </r>
        <r>
          <rPr>
            <sz val="11"/>
            <color indexed="81"/>
            <rFont val="ＭＳ Ｐゴシック"/>
            <family val="3"/>
            <charset val="128"/>
          </rPr>
          <t>(</t>
        </r>
        <r>
          <rPr>
            <sz val="11"/>
            <color indexed="12"/>
            <rFont val="ＭＳ Ｐゴシック"/>
            <family val="3"/>
            <charset val="128"/>
          </rPr>
          <t>$F$100:$F$107</t>
        </r>
        <r>
          <rPr>
            <sz val="11"/>
            <color indexed="81"/>
            <rFont val="ＭＳ Ｐゴシック"/>
            <family val="3"/>
            <charset val="128"/>
          </rPr>
          <t>,D119)</t>
        </r>
      </text>
    </comment>
    <comment ref="L119" authorId="1" shapeId="0">
      <text>
        <r>
          <rPr>
            <b/>
            <sz val="11"/>
            <color indexed="81"/>
            <rFont val="ＭＳ Ｐゴシック"/>
            <family val="3"/>
            <charset val="128"/>
          </rPr>
          <t>書式のユーザー定義で
「位」を設定します。</t>
        </r>
      </text>
    </comment>
    <comment ref="D134" authorId="0" shapeId="0">
      <text>
        <r>
          <rPr>
            <sz val="11"/>
            <color indexed="81"/>
            <rFont val="ＭＳ Ｐゴシック"/>
            <family val="3"/>
            <charset val="128"/>
          </rPr>
          <t>=</t>
        </r>
        <r>
          <rPr>
            <sz val="11"/>
            <color indexed="10"/>
            <rFont val="ＭＳ Ｐゴシック"/>
            <family val="3"/>
            <charset val="128"/>
          </rPr>
          <t>RANK</t>
        </r>
        <r>
          <rPr>
            <sz val="11"/>
            <color indexed="81"/>
            <rFont val="ＭＳ Ｐゴシック"/>
            <family val="3"/>
            <charset val="128"/>
          </rPr>
          <t>(D134,</t>
        </r>
        <r>
          <rPr>
            <sz val="11"/>
            <color indexed="12"/>
            <rFont val="ＭＳ Ｐゴシック"/>
            <family val="3"/>
            <charset val="128"/>
          </rPr>
          <t>$D$134:$D$141</t>
        </r>
        <r>
          <rPr>
            <sz val="11"/>
            <color indexed="81"/>
            <rFont val="ＭＳ Ｐゴシック"/>
            <family val="3"/>
            <charset val="128"/>
          </rPr>
          <t>,0)</t>
        </r>
      </text>
    </comment>
    <comment ref="E134" authorId="0" shapeId="0">
      <text>
        <r>
          <rPr>
            <sz val="11"/>
            <color indexed="81"/>
            <rFont val="ＭＳ Ｐゴシック"/>
            <family val="3"/>
            <charset val="128"/>
          </rPr>
          <t>=</t>
        </r>
        <r>
          <rPr>
            <sz val="11"/>
            <color indexed="10"/>
            <rFont val="ＭＳ Ｐゴシック"/>
            <family val="3"/>
            <charset val="128"/>
          </rPr>
          <t>IF</t>
        </r>
        <r>
          <rPr>
            <sz val="11"/>
            <color indexed="81"/>
            <rFont val="ＭＳ Ｐゴシック"/>
            <family val="3"/>
            <charset val="128"/>
          </rPr>
          <t>(D134&lt;=5,"合格",</t>
        </r>
        <r>
          <rPr>
            <sz val="11"/>
            <color indexed="10"/>
            <rFont val="ＭＳ Ｐゴシック"/>
            <family val="3"/>
            <charset val="128"/>
          </rPr>
          <t>""</t>
        </r>
        <r>
          <rPr>
            <sz val="11"/>
            <color indexed="81"/>
            <rFont val="ＭＳ Ｐゴシック"/>
            <family val="3"/>
            <charset val="128"/>
          </rPr>
          <t>)</t>
        </r>
      </text>
    </comment>
    <comment ref="F166" authorId="0" shapeId="0">
      <text>
        <r>
          <rPr>
            <sz val="11"/>
            <color indexed="81"/>
            <rFont val="ＭＳ Ｐゴシック"/>
            <family val="3"/>
            <charset val="128"/>
          </rPr>
          <t>=</t>
        </r>
        <r>
          <rPr>
            <sz val="11"/>
            <color indexed="10"/>
            <rFont val="ＭＳ Ｐゴシック"/>
            <family val="3"/>
            <charset val="128"/>
          </rPr>
          <t>ROUNDDOWN</t>
        </r>
        <r>
          <rPr>
            <sz val="11"/>
            <color indexed="81"/>
            <rFont val="ＭＳ Ｐゴシック"/>
            <family val="3"/>
            <charset val="128"/>
          </rPr>
          <t>(C143,</t>
        </r>
        <r>
          <rPr>
            <b/>
            <sz val="11"/>
            <color indexed="12"/>
            <rFont val="ＭＳ Ｐゴシック"/>
            <family val="3"/>
            <charset val="128"/>
          </rPr>
          <t>1</t>
        </r>
        <r>
          <rPr>
            <sz val="11"/>
            <color indexed="81"/>
            <rFont val="ＭＳ Ｐゴシック"/>
            <family val="3"/>
            <charset val="128"/>
          </rPr>
          <t>)
「</t>
        </r>
        <r>
          <rPr>
            <b/>
            <sz val="11"/>
            <color indexed="81"/>
            <rFont val="ＭＳ Ｐゴシック"/>
            <family val="3"/>
            <charset val="128"/>
          </rPr>
          <t>切り捨て関数</t>
        </r>
        <r>
          <rPr>
            <sz val="11"/>
            <color indexed="81"/>
            <rFont val="ＭＳ Ｐゴシック"/>
            <family val="3"/>
            <charset val="128"/>
          </rPr>
          <t>」（数学／三角）
を思い出しましょう。</t>
        </r>
      </text>
    </comment>
    <comment ref="F181" authorId="0" shapeId="0">
      <text>
        <r>
          <rPr>
            <sz val="12"/>
            <color indexed="81"/>
            <rFont val="ＭＳ Ｐゴシック"/>
            <family val="3"/>
            <charset val="128"/>
          </rPr>
          <t xml:space="preserve">=D181*E181
</t>
        </r>
        <r>
          <rPr>
            <sz val="10"/>
            <color indexed="81"/>
            <rFont val="ＭＳ Ｐゴシック"/>
            <family val="3"/>
            <charset val="128"/>
          </rPr>
          <t>（入場者×入場料）</t>
        </r>
      </text>
    </comment>
    <comment ref="F194" authorId="0" shapeId="0">
      <text>
        <r>
          <rPr>
            <sz val="14"/>
            <color indexed="81"/>
            <rFont val="ＭＳ Ｐゴシック"/>
            <family val="3"/>
            <charset val="128"/>
          </rPr>
          <t>=</t>
        </r>
        <r>
          <rPr>
            <sz val="14"/>
            <color indexed="10"/>
            <rFont val="ＭＳ Ｐゴシック"/>
            <family val="3"/>
            <charset val="128"/>
          </rPr>
          <t>IF</t>
        </r>
        <r>
          <rPr>
            <sz val="14"/>
            <color indexed="81"/>
            <rFont val="ＭＳ Ｐゴシック"/>
            <family val="3"/>
            <charset val="128"/>
          </rPr>
          <t>(D195=</t>
        </r>
        <r>
          <rPr>
            <sz val="14"/>
            <color indexed="10"/>
            <rFont val="ＭＳ Ｐゴシック"/>
            <family val="3"/>
            <charset val="128"/>
          </rPr>
          <t>""</t>
        </r>
        <r>
          <rPr>
            <b/>
            <sz val="14"/>
            <color indexed="81"/>
            <rFont val="ＭＳ Ｐゴシック"/>
            <family val="3"/>
            <charset val="128"/>
          </rPr>
          <t>,</t>
        </r>
        <r>
          <rPr>
            <sz val="14"/>
            <color indexed="10"/>
            <rFont val="ＭＳ Ｐゴシック"/>
            <family val="3"/>
            <charset val="128"/>
          </rPr>
          <t>""</t>
        </r>
        <r>
          <rPr>
            <b/>
            <sz val="14"/>
            <color indexed="81"/>
            <rFont val="ＭＳ Ｐゴシック"/>
            <family val="3"/>
            <charset val="128"/>
          </rPr>
          <t>,</t>
        </r>
        <r>
          <rPr>
            <sz val="14"/>
            <color indexed="12"/>
            <rFont val="ＭＳ Ｐゴシック"/>
            <family val="3"/>
            <charset val="128"/>
          </rPr>
          <t>D195*E195</t>
        </r>
        <r>
          <rPr>
            <sz val="14"/>
            <color indexed="81"/>
            <rFont val="ＭＳ Ｐゴシック"/>
            <family val="3"/>
            <charset val="128"/>
          </rPr>
          <t>)</t>
        </r>
        <r>
          <rPr>
            <sz val="12"/>
            <color indexed="81"/>
            <rFont val="ＭＳ Ｐゴシック"/>
            <family val="3"/>
            <charset val="128"/>
          </rPr>
          <t xml:space="preserve">
</t>
        </r>
        <r>
          <rPr>
            <b/>
            <sz val="10"/>
            <color indexed="81"/>
            <rFont val="ＭＳ Ｐゴシック"/>
            <family val="3"/>
            <charset val="128"/>
          </rPr>
          <t xml:space="preserve">必ず、「１０月１５日」のセルまでドラッグでコピーします。
</t>
        </r>
        <r>
          <rPr>
            <sz val="11"/>
            <color indexed="81"/>
            <rFont val="ＭＳ Ｐゴシック"/>
            <family val="3"/>
            <charset val="128"/>
          </rPr>
          <t xml:space="preserve">入場者が未入力であれば、計算結果を表示してませんね。
</t>
        </r>
        <r>
          <rPr>
            <sz val="11"/>
            <color indexed="10"/>
            <rFont val="ＭＳ Ｐゴシック"/>
            <family val="3"/>
            <charset val="128"/>
          </rPr>
          <t>※試しに、１０月１３日の入場者に数字を入力して下さい
「金額」が表示されます。</t>
        </r>
      </text>
    </comment>
  </commentList>
</comments>
</file>

<file path=xl/sharedStrings.xml><?xml version="1.0" encoding="utf-8"?>
<sst xmlns="http://schemas.openxmlformats.org/spreadsheetml/2006/main" count="228" uniqueCount="126">
  <si>
    <t>左のように作成してみましょう</t>
  </si>
  <si>
    <t>関数とは</t>
    <rPh sb="0" eb="2">
      <t>カンスウ</t>
    </rPh>
    <phoneticPr fontId="2"/>
  </si>
  <si>
    <t>様々な計算を簡単にできるように、命令する道具です。</t>
    <rPh sb="0" eb="2">
      <t>サマザマ</t>
    </rPh>
    <rPh sb="3" eb="5">
      <t>ケイサン</t>
    </rPh>
    <rPh sb="16" eb="18">
      <t>メイレイ</t>
    </rPh>
    <rPh sb="20" eb="22">
      <t>ドウグ</t>
    </rPh>
    <phoneticPr fontId="2"/>
  </si>
  <si>
    <t>「関数」というと｛三角関数｝｛二次関数｝・・・などと数学的な感じで腰が引けてそまいそうですね。</t>
    <rPh sb="1" eb="3">
      <t>カンスウ</t>
    </rPh>
    <rPh sb="9" eb="11">
      <t>サンカク</t>
    </rPh>
    <rPh sb="11" eb="13">
      <t>カンスウ</t>
    </rPh>
    <rPh sb="15" eb="17">
      <t>ニジ</t>
    </rPh>
    <rPh sb="17" eb="19">
      <t>カンスウ</t>
    </rPh>
    <rPh sb="26" eb="28">
      <t>スウガク</t>
    </rPh>
    <rPh sb="28" eb="29">
      <t>テキ</t>
    </rPh>
    <rPh sb="30" eb="31">
      <t>カン</t>
    </rPh>
    <rPh sb="33" eb="34">
      <t>コシ</t>
    </rPh>
    <rPh sb="35" eb="36">
      <t>ヒ</t>
    </rPh>
    <phoneticPr fontId="2"/>
  </si>
  <si>
    <t>まず、操作の流れを覚えましょう</t>
    <rPh sb="3" eb="5">
      <t>ソウサ</t>
    </rPh>
    <rPh sb="6" eb="7">
      <t>ナガ</t>
    </rPh>
    <rPh sb="9" eb="10">
      <t>オボ</t>
    </rPh>
    <phoneticPr fontId="2"/>
  </si>
  <si>
    <r>
      <t>そんなに難しい世界ではなく、とても</t>
    </r>
    <r>
      <rPr>
        <sz val="11"/>
        <color indexed="14"/>
        <rFont val="ＭＳ Ｐゴシック"/>
        <family val="3"/>
        <charset val="128"/>
      </rPr>
      <t>楽に計算結果などを導き出す大変に便利な操作です。</t>
    </r>
    <rPh sb="4" eb="5">
      <t>ムズカ</t>
    </rPh>
    <rPh sb="7" eb="9">
      <t>セカイ</t>
    </rPh>
    <rPh sb="17" eb="18">
      <t>ラク</t>
    </rPh>
    <rPh sb="19" eb="21">
      <t>ケイサン</t>
    </rPh>
    <rPh sb="21" eb="23">
      <t>ケッカ</t>
    </rPh>
    <rPh sb="26" eb="27">
      <t>ミチビ</t>
    </rPh>
    <rPh sb="28" eb="29">
      <t>ダ</t>
    </rPh>
    <rPh sb="30" eb="32">
      <t>タイヘン</t>
    </rPh>
    <rPh sb="33" eb="35">
      <t>ベンリ</t>
    </rPh>
    <rPh sb="36" eb="38">
      <t>ソウサ</t>
    </rPh>
    <phoneticPr fontId="2"/>
  </si>
  <si>
    <t>「関数」の操作を覚えると、エクセルにはまるかも知れません。</t>
    <rPh sb="1" eb="3">
      <t>カンスウ</t>
    </rPh>
    <rPh sb="5" eb="7">
      <t>ソウサ</t>
    </rPh>
    <rPh sb="8" eb="9">
      <t>オボ</t>
    </rPh>
    <rPh sb="23" eb="24">
      <t>シ</t>
    </rPh>
    <phoneticPr fontId="2"/>
  </si>
  <si>
    <t>１、「Σ」ボタンの右横にある▼をクリックして</t>
    <rPh sb="9" eb="11">
      <t>ミギヨコ</t>
    </rPh>
    <phoneticPr fontId="2"/>
  </si>
  <si>
    <r>
      <t>　　｛</t>
    </r>
    <r>
      <rPr>
        <sz val="11"/>
        <color indexed="12"/>
        <rFont val="ＭＳ Ｐゴシック"/>
        <family val="3"/>
        <charset val="128"/>
      </rPr>
      <t>その他の関数</t>
    </r>
    <r>
      <rPr>
        <sz val="11"/>
        <rFont val="ＭＳ Ｐゴシック"/>
        <family val="3"/>
        <charset val="128"/>
      </rPr>
      <t>」を選択する。</t>
    </r>
    <rPh sb="5" eb="6">
      <t>タ</t>
    </rPh>
    <rPh sb="7" eb="9">
      <t>カンスウ</t>
    </rPh>
    <rPh sb="11" eb="13">
      <t>センタク</t>
    </rPh>
    <phoneticPr fontId="2"/>
  </si>
  <si>
    <t>③何れかの方法を選択すると、右にある画面が表示されます。</t>
    <rPh sb="1" eb="2">
      <t>イズ</t>
    </rPh>
    <rPh sb="5" eb="7">
      <t>ホウホウ</t>
    </rPh>
    <rPh sb="8" eb="10">
      <t>センタク</t>
    </rPh>
    <rPh sb="14" eb="15">
      <t>ミギ</t>
    </rPh>
    <rPh sb="18" eb="20">
      <t>ガメン</t>
    </rPh>
    <rPh sb="21" eb="23">
      <t>ヒョウジ</t>
    </rPh>
    <phoneticPr fontId="2"/>
  </si>
  <si>
    <t>⑦「OK」で確定です。</t>
    <rPh sb="6" eb="8">
      <t>カクテイ</t>
    </rPh>
    <phoneticPr fontId="2"/>
  </si>
  <si>
    <t>様々な関数を利用してみましょう。</t>
    <rPh sb="0" eb="2">
      <t>サマザマ</t>
    </rPh>
    <rPh sb="3" eb="5">
      <t>カンスウ</t>
    </rPh>
    <rPh sb="6" eb="8">
      <t>リヨウ</t>
    </rPh>
    <phoneticPr fontId="2"/>
  </si>
  <si>
    <t>「関数」の使い方</t>
    <rPh sb="1" eb="3">
      <t>カンスウ</t>
    </rPh>
    <rPh sb="5" eb="6">
      <t>ツカ</t>
    </rPh>
    <rPh sb="7" eb="8">
      <t>カタ</t>
    </rPh>
    <phoneticPr fontId="2"/>
  </si>
  <si>
    <t>①計算結果を表示するセルを選択します。</t>
    <rPh sb="1" eb="3">
      <t>ケイサン</t>
    </rPh>
    <rPh sb="3" eb="5">
      <t>ケッカ</t>
    </rPh>
    <rPh sb="6" eb="8">
      <t>ヒョウジ</t>
    </rPh>
    <rPh sb="13" eb="15">
      <t>センタク</t>
    </rPh>
    <phoneticPr fontId="2"/>
  </si>
  <si>
    <t>⑥表示された「関数の引数」画面で、必要事項を指定。</t>
    <rPh sb="1" eb="3">
      <t>ヒョウジ</t>
    </rPh>
    <rPh sb="7" eb="9">
      <t>カンスウ</t>
    </rPh>
    <rPh sb="10" eb="12">
      <t>ヒキスウ</t>
    </rPh>
    <rPh sb="13" eb="15">
      <t>ガメン</t>
    </rPh>
    <rPh sb="17" eb="19">
      <t>ヒツヨウ</t>
    </rPh>
    <rPh sb="19" eb="21">
      <t>ジコウ</t>
    </rPh>
    <rPh sb="22" eb="24">
      <t>シテイ</t>
    </rPh>
    <phoneticPr fontId="2"/>
  </si>
  <si>
    <t>　　（関数の種類によって、指定の方法が異なります）</t>
    <rPh sb="3" eb="5">
      <t>カンスウ</t>
    </rPh>
    <rPh sb="6" eb="8">
      <t>シュルイ</t>
    </rPh>
    <rPh sb="13" eb="15">
      <t>シテイ</t>
    </rPh>
    <rPh sb="16" eb="18">
      <t>ホウホウ</t>
    </rPh>
    <rPh sb="19" eb="20">
      <t>コト</t>
    </rPh>
    <phoneticPr fontId="2"/>
  </si>
  <si>
    <t>①計算結果を表示するセルをクリックで選択</t>
    <rPh sb="1" eb="3">
      <t>ケイサン</t>
    </rPh>
    <rPh sb="3" eb="5">
      <t>ケッカ</t>
    </rPh>
    <rPh sb="6" eb="8">
      <t>ヒョウジ</t>
    </rPh>
    <rPh sb="18" eb="20">
      <t>センタク</t>
    </rPh>
    <phoneticPr fontId="2"/>
  </si>
  <si>
    <t>②「関数の挿入」画面を表示→　　　をクリック。</t>
    <rPh sb="2" eb="4">
      <t>カンスウ</t>
    </rPh>
    <rPh sb="5" eb="7">
      <t>ソウニュウ</t>
    </rPh>
    <rPh sb="8" eb="10">
      <t>ガメン</t>
    </rPh>
    <rPh sb="11" eb="13">
      <t>ヒョウジ</t>
    </rPh>
    <phoneticPr fontId="2"/>
  </si>
  <si>
    <t>氏名</t>
    <rPh sb="0" eb="2">
      <t>シメイ</t>
    </rPh>
    <phoneticPr fontId="2"/>
  </si>
  <si>
    <t>吉田</t>
    <rPh sb="0" eb="2">
      <t>ヨシダ</t>
    </rPh>
    <phoneticPr fontId="2"/>
  </si>
  <si>
    <t>原</t>
    <rPh sb="0" eb="1">
      <t>ハラ</t>
    </rPh>
    <phoneticPr fontId="2"/>
  </si>
  <si>
    <t>佐藤</t>
    <rPh sb="0" eb="2">
      <t>サトウ</t>
    </rPh>
    <phoneticPr fontId="2"/>
  </si>
  <si>
    <t>犬養</t>
    <rPh sb="0" eb="1">
      <t>イヌ</t>
    </rPh>
    <rPh sb="1" eb="2">
      <t>ヤシナ</t>
    </rPh>
    <phoneticPr fontId="2"/>
  </si>
  <si>
    <t>岸</t>
    <rPh sb="0" eb="1">
      <t>キシ</t>
    </rPh>
    <phoneticPr fontId="2"/>
  </si>
  <si>
    <t>田中</t>
    <rPh sb="0" eb="2">
      <t>タナカ</t>
    </rPh>
    <phoneticPr fontId="2"/>
  </si>
  <si>
    <t>片山</t>
    <rPh sb="0" eb="2">
      <t>カタヤマ</t>
    </rPh>
    <phoneticPr fontId="2"/>
  </si>
  <si>
    <t>大平</t>
    <rPh sb="0" eb="2">
      <t>オオヒラ</t>
    </rPh>
    <phoneticPr fontId="2"/>
  </si>
  <si>
    <t>例えば</t>
    <rPh sb="0" eb="1">
      <t>タト</t>
    </rPh>
    <phoneticPr fontId="2"/>
  </si>
  <si>
    <t>方法</t>
    <rPh sb="0" eb="2">
      <t>ホウホウ</t>
    </rPh>
    <phoneticPr fontId="2"/>
  </si>
  <si>
    <t>絶対参照</t>
    <rPh sb="0" eb="2">
      <t>ゼッタイ</t>
    </rPh>
    <rPh sb="2" eb="4">
      <t>サンショウ</t>
    </rPh>
    <phoneticPr fontId="2"/>
  </si>
  <si>
    <r>
      <t>右の表で、</t>
    </r>
    <r>
      <rPr>
        <sz val="14"/>
        <color indexed="13"/>
        <rFont val="ＭＳ Ｐゴシック"/>
        <family val="3"/>
        <charset val="128"/>
      </rPr>
      <t>■</t>
    </r>
    <r>
      <rPr>
        <sz val="11"/>
        <rFont val="ＭＳ Ｐゴシック"/>
        <family val="3"/>
        <charset val="128"/>
      </rPr>
      <t>に計算式を設定しましょう。</t>
    </r>
    <rPh sb="0" eb="1">
      <t>ミギ</t>
    </rPh>
    <rPh sb="2" eb="3">
      <t>ヒョウ</t>
    </rPh>
    <rPh sb="7" eb="9">
      <t>ケイサン</t>
    </rPh>
    <rPh sb="9" eb="10">
      <t>シキ</t>
    </rPh>
    <rPh sb="11" eb="13">
      <t>セッテイ</t>
    </rPh>
    <phoneticPr fontId="2"/>
  </si>
  <si>
    <r>
      <t>■</t>
    </r>
    <r>
      <rPr>
        <sz val="11"/>
        <rFont val="ＭＳ Ｐゴシック"/>
        <family val="3"/>
        <charset val="128"/>
      </rPr>
      <t>に計算式を設定しましょう。</t>
    </r>
    <rPh sb="2" eb="4">
      <t>ケイサン</t>
    </rPh>
    <rPh sb="4" eb="5">
      <t>シキ</t>
    </rPh>
    <rPh sb="6" eb="8">
      <t>セッテイ</t>
    </rPh>
    <phoneticPr fontId="2"/>
  </si>
  <si>
    <t>（問題１）</t>
    <rPh sb="1" eb="3">
      <t>モンダイ</t>
    </rPh>
    <phoneticPr fontId="2"/>
  </si>
  <si>
    <t>順位</t>
    <rPh sb="0" eb="2">
      <t>ジュンイ</t>
    </rPh>
    <phoneticPr fontId="2"/>
  </si>
  <si>
    <t>試験結果</t>
    <rPh sb="0" eb="2">
      <t>シケン</t>
    </rPh>
    <rPh sb="2" eb="4">
      <t>ケッカ</t>
    </rPh>
    <phoneticPr fontId="2"/>
  </si>
  <si>
    <t>判定</t>
    <rPh sb="0" eb="2">
      <t>ハンテイ</t>
    </rPh>
    <phoneticPr fontId="2"/>
  </si>
  <si>
    <t>試験結果で</t>
    <rPh sb="0" eb="2">
      <t>シケン</t>
    </rPh>
    <rPh sb="2" eb="4">
      <t>ケッカ</t>
    </rPh>
    <phoneticPr fontId="2"/>
  </si>
  <si>
    <t>と判定しましょう。</t>
    <rPh sb="1" eb="3">
      <t>ハンテイ</t>
    </rPh>
    <phoneticPr fontId="2"/>
  </si>
  <si>
    <r>
      <t>「</t>
    </r>
    <r>
      <rPr>
        <b/>
        <sz val="11"/>
        <rFont val="ＭＳ Ｐゴシック"/>
        <family val="3"/>
        <charset val="128"/>
      </rPr>
      <t>１５０点以上</t>
    </r>
    <r>
      <rPr>
        <sz val="11"/>
        <rFont val="ＭＳ Ｐゴシック"/>
        <family val="3"/>
        <charset val="128"/>
      </rPr>
      <t>」を｛</t>
    </r>
    <r>
      <rPr>
        <sz val="11"/>
        <color indexed="12"/>
        <rFont val="ＭＳ Ｐゴシック"/>
        <family val="3"/>
        <charset val="128"/>
      </rPr>
      <t>IF関数</t>
    </r>
    <r>
      <rPr>
        <sz val="11"/>
        <rFont val="ＭＳ Ｐゴシック"/>
        <family val="3"/>
        <charset val="128"/>
      </rPr>
      <t>｝で</t>
    </r>
    <r>
      <rPr>
        <sz val="11"/>
        <color indexed="10"/>
        <rFont val="ＭＳ Ｐゴシック"/>
        <family val="3"/>
        <charset val="128"/>
      </rPr>
      <t>合格</t>
    </r>
    <phoneticPr fontId="2"/>
  </si>
  <si>
    <t>論理式が大切です。</t>
    <rPh sb="0" eb="2">
      <t>ロンリ</t>
    </rPh>
    <rPh sb="2" eb="3">
      <t>シキ</t>
    </rPh>
    <rPh sb="4" eb="6">
      <t>タイセツ</t>
    </rPh>
    <phoneticPr fontId="2"/>
  </si>
  <si>
    <t>１５０以上</t>
    <rPh sb="3" eb="5">
      <t>イジョウ</t>
    </rPh>
    <phoneticPr fontId="2"/>
  </si>
  <si>
    <t>&gt;=150</t>
    <phoneticPr fontId="2"/>
  </si>
  <si>
    <t>&gt;149</t>
    <phoneticPr fontId="2"/>
  </si>
  <si>
    <t>&lt;150</t>
    <phoneticPr fontId="2"/>
  </si>
  <si>
    <t>&lt;=149</t>
    <phoneticPr fontId="2"/>
  </si>
  <si>
    <t>「=」はその値を含む以上</t>
    <rPh sb="6" eb="7">
      <t>アタイ</t>
    </rPh>
    <rPh sb="8" eb="9">
      <t>フク</t>
    </rPh>
    <rPh sb="10" eb="12">
      <t>イジョウ</t>
    </rPh>
    <phoneticPr fontId="2"/>
  </si>
  <si>
    <t>「=」はその値を含む以下</t>
    <rPh sb="6" eb="7">
      <t>アタイ</t>
    </rPh>
    <rPh sb="8" eb="9">
      <t>フク</t>
    </rPh>
    <rPh sb="10" eb="12">
      <t>イカ</t>
    </rPh>
    <phoneticPr fontId="2"/>
  </si>
  <si>
    <t>論理式</t>
    <rPh sb="0" eb="2">
      <t>ロンリ</t>
    </rPh>
    <rPh sb="2" eb="3">
      <t>シキ</t>
    </rPh>
    <phoneticPr fontId="2"/>
  </si>
  <si>
    <t>意　味</t>
    <rPh sb="0" eb="1">
      <t>イ</t>
    </rPh>
    <rPh sb="2" eb="3">
      <t>アジ</t>
    </rPh>
    <phoneticPr fontId="2"/>
  </si>
  <si>
    <t>条件</t>
    <rPh sb="0" eb="2">
      <t>ジョウケン</t>
    </rPh>
    <phoneticPr fontId="2"/>
  </si>
  <si>
    <t>上のように作成してみましょう</t>
    <rPh sb="0" eb="1">
      <t>ウエ</t>
    </rPh>
    <phoneticPr fontId="2"/>
  </si>
  <si>
    <t>IF関数ー（論理）</t>
    <rPh sb="2" eb="4">
      <t>カンスウ</t>
    </rPh>
    <rPh sb="6" eb="8">
      <t>ロンリ</t>
    </rPh>
    <phoneticPr fontId="2"/>
  </si>
  <si>
    <t>　　　　がIF関数の論理式の考え方です。</t>
    <rPh sb="7" eb="9">
      <t>カンスウ</t>
    </rPh>
    <rPh sb="10" eb="12">
      <t>ロンリ</t>
    </rPh>
    <rPh sb="12" eb="13">
      <t>シキ</t>
    </rPh>
    <rPh sb="14" eb="15">
      <t>カンガ</t>
    </rPh>
    <rPh sb="16" eb="17">
      <t>カタ</t>
    </rPh>
    <phoneticPr fontId="2"/>
  </si>
  <si>
    <t>※数値を変更すると、「判定」結果も修正されます。</t>
    <rPh sb="1" eb="3">
      <t>スウチ</t>
    </rPh>
    <rPh sb="4" eb="6">
      <t>ヘンコウ</t>
    </rPh>
    <rPh sb="11" eb="13">
      <t>ハンテイ</t>
    </rPh>
    <rPh sb="14" eb="16">
      <t>ケッカ</t>
    </rPh>
    <rPh sb="17" eb="19">
      <t>シュウセイ</t>
    </rPh>
    <phoneticPr fontId="2"/>
  </si>
  <si>
    <t>IF関数は、大変多くの場面で使用します。問題を通して慣れましょう。</t>
    <rPh sb="2" eb="4">
      <t>カンスウ</t>
    </rPh>
    <rPh sb="6" eb="8">
      <t>タイヘン</t>
    </rPh>
    <rPh sb="8" eb="9">
      <t>オオ</t>
    </rPh>
    <rPh sb="11" eb="13">
      <t>バメン</t>
    </rPh>
    <rPh sb="14" eb="16">
      <t>シヨウ</t>
    </rPh>
    <rPh sb="20" eb="22">
      <t>モンダイ</t>
    </rPh>
    <rPh sb="23" eb="24">
      <t>トオ</t>
    </rPh>
    <rPh sb="26" eb="27">
      <t>ナ</t>
    </rPh>
    <phoneticPr fontId="2"/>
  </si>
  <si>
    <t>数学</t>
    <rPh sb="0" eb="2">
      <t>スウガク</t>
    </rPh>
    <phoneticPr fontId="2"/>
  </si>
  <si>
    <t>英語</t>
    <rPh sb="0" eb="2">
      <t>エイゴ</t>
    </rPh>
    <phoneticPr fontId="2"/>
  </si>
  <si>
    <t>合計点</t>
    <rPh sb="0" eb="2">
      <t>ゴウケイ</t>
    </rPh>
    <rPh sb="2" eb="3">
      <t>テン</t>
    </rPh>
    <phoneticPr fontId="2"/>
  </si>
  <si>
    <t>芥川</t>
    <rPh sb="0" eb="2">
      <t>アクタガワ</t>
    </rPh>
    <phoneticPr fontId="2"/>
  </si>
  <si>
    <t>夏目</t>
    <rPh sb="0" eb="2">
      <t>ナツメ</t>
    </rPh>
    <phoneticPr fontId="2"/>
  </si>
  <si>
    <t>志賀</t>
    <rPh sb="0" eb="2">
      <t>シガ</t>
    </rPh>
    <phoneticPr fontId="2"/>
  </si>
  <si>
    <t>島崎</t>
    <rPh sb="0" eb="2">
      <t>シマザキ</t>
    </rPh>
    <phoneticPr fontId="2"/>
  </si>
  <si>
    <t>三島</t>
    <rPh sb="0" eb="2">
      <t>ミシマ</t>
    </rPh>
    <phoneticPr fontId="2"/>
  </si>
  <si>
    <t>川端</t>
    <rPh sb="0" eb="2">
      <t>カワバタ</t>
    </rPh>
    <phoneticPr fontId="2"/>
  </si>
  <si>
    <t>森</t>
    <rPh sb="0" eb="1">
      <t>モリ</t>
    </rPh>
    <phoneticPr fontId="2"/>
  </si>
  <si>
    <t>与謝野</t>
    <rPh sb="0" eb="3">
      <t>ヨサノ</t>
    </rPh>
    <phoneticPr fontId="2"/>
  </si>
  <si>
    <t>１５０点以上は合格</t>
    <rPh sb="3" eb="6">
      <t>テンイジョウ</t>
    </rPh>
    <rPh sb="7" eb="9">
      <t>ゴウカク</t>
    </rPh>
    <phoneticPr fontId="2"/>
  </si>
  <si>
    <t>以外は不合格と判定</t>
    <rPh sb="0" eb="2">
      <t>イガイ</t>
    </rPh>
    <rPh sb="3" eb="6">
      <t>フゴウカク</t>
    </rPh>
    <rPh sb="7" eb="9">
      <t>ハンテイ</t>
    </rPh>
    <phoneticPr fontId="2"/>
  </si>
  <si>
    <t>「１５０点以上」を</t>
    <rPh sb="4" eb="5">
      <t>テン</t>
    </rPh>
    <rPh sb="5" eb="7">
      <t>イジョウ</t>
    </rPh>
    <phoneticPr fontId="2"/>
  </si>
  <si>
    <t>に</t>
    <phoneticPr fontId="2"/>
  </si>
  <si>
    <t>（問題2）</t>
    <rPh sb="1" eb="3">
      <t>モンダイ</t>
    </rPh>
    <phoneticPr fontId="2"/>
  </si>
  <si>
    <t>得点</t>
    <rPh sb="0" eb="2">
      <t>トクテン</t>
    </rPh>
    <phoneticPr fontId="2"/>
  </si>
  <si>
    <t>合計点の上位３位までの得点</t>
    <rPh sb="0" eb="2">
      <t>ゴウケイ</t>
    </rPh>
    <rPh sb="2" eb="3">
      <t>テン</t>
    </rPh>
    <rPh sb="4" eb="6">
      <t>ジョウイ</t>
    </rPh>
    <rPh sb="7" eb="8">
      <t>イ</t>
    </rPh>
    <rPh sb="11" eb="13">
      <t>トクテン</t>
    </rPh>
    <phoneticPr fontId="2"/>
  </si>
  <si>
    <t>大学付属高校　入試結果</t>
    <rPh sb="0" eb="2">
      <t>ダイガク</t>
    </rPh>
    <rPh sb="2" eb="4">
      <t>フゾク</t>
    </rPh>
    <rPh sb="4" eb="6">
      <t>コウコウ</t>
    </rPh>
    <rPh sb="7" eb="9">
      <t>ニュウシ</t>
    </rPh>
    <rPh sb="9" eb="11">
      <t>ケッカ</t>
    </rPh>
    <phoneticPr fontId="2"/>
  </si>
  <si>
    <t>（問題２）</t>
    <rPh sb="1" eb="3">
      <t>モンダイ</t>
    </rPh>
    <phoneticPr fontId="2"/>
  </si>
  <si>
    <r>
      <t>順位を設定しましょう（合計点の高い順）</t>
    </r>
    <r>
      <rPr>
        <sz val="11"/>
        <color indexed="10"/>
        <rFont val="ＭＳ Ｐゴシック"/>
        <family val="3"/>
        <charset val="128"/>
      </rPr>
      <t>RANK関数</t>
    </r>
    <rPh sb="0" eb="2">
      <t>ジュンイ</t>
    </rPh>
    <rPh sb="3" eb="5">
      <t>セッテイ</t>
    </rPh>
    <rPh sb="11" eb="13">
      <t>ゴウケイ</t>
    </rPh>
    <rPh sb="13" eb="14">
      <t>テン</t>
    </rPh>
    <rPh sb="15" eb="16">
      <t>タカ</t>
    </rPh>
    <rPh sb="17" eb="18">
      <t>ジュン</t>
    </rPh>
    <rPh sb="23" eb="25">
      <t>カンスウ</t>
    </rPh>
    <phoneticPr fontId="2"/>
  </si>
  <si>
    <r>
      <t>順位が「５位」までを「合格」と判定しましょう。</t>
    </r>
    <r>
      <rPr>
        <sz val="11"/>
        <color indexed="10"/>
        <rFont val="ＭＳ Ｐゴシック"/>
        <family val="3"/>
        <charset val="128"/>
      </rPr>
      <t>IF関数</t>
    </r>
    <rPh sb="0" eb="2">
      <t>ジュンイ</t>
    </rPh>
    <rPh sb="5" eb="6">
      <t>イ</t>
    </rPh>
    <rPh sb="11" eb="13">
      <t>ゴウカク</t>
    </rPh>
    <rPh sb="15" eb="17">
      <t>ハンテイ</t>
    </rPh>
    <rPh sb="25" eb="27">
      <t>カンスウ</t>
    </rPh>
    <phoneticPr fontId="2"/>
  </si>
  <si>
    <t>（問題３）</t>
    <rPh sb="1" eb="3">
      <t>モンダイ</t>
    </rPh>
    <phoneticPr fontId="2"/>
  </si>
  <si>
    <t>（問題４）</t>
    <rPh sb="1" eb="3">
      <t>モンダイ</t>
    </rPh>
    <phoneticPr fontId="2"/>
  </si>
  <si>
    <t>平均点</t>
    <rPh sb="0" eb="3">
      <t>ヘイキンテン</t>
    </rPh>
    <phoneticPr fontId="2"/>
  </si>
  <si>
    <t>（問題５）</t>
    <rPh sb="1" eb="3">
      <t>モンダイ</t>
    </rPh>
    <phoneticPr fontId="2"/>
  </si>
  <si>
    <t>「平均点」を小数点２桁で「切り捨て」しましょう。</t>
    <rPh sb="1" eb="4">
      <t>ヘイキンテン</t>
    </rPh>
    <rPh sb="6" eb="9">
      <t>ショウスウテン</t>
    </rPh>
    <rPh sb="10" eb="11">
      <t>ケタ</t>
    </rPh>
    <rPh sb="13" eb="14">
      <t>キ</t>
    </rPh>
    <rPh sb="15" eb="16">
      <t>ス</t>
    </rPh>
    <phoneticPr fontId="2"/>
  </si>
  <si>
    <t>左のように作成してみましょう</t>
    <rPh sb="0" eb="1">
      <t>ヒダリ</t>
    </rPh>
    <phoneticPr fontId="2"/>
  </si>
  <si>
    <r>
      <t>不合格者は何人でしょう。</t>
    </r>
    <r>
      <rPr>
        <sz val="11"/>
        <color indexed="10"/>
        <rFont val="ＭＳ Ｐゴシック"/>
        <family val="3"/>
        <charset val="128"/>
      </rPr>
      <t>COUNTBLANK関数</t>
    </r>
    <rPh sb="0" eb="3">
      <t>フゴウカク</t>
    </rPh>
    <rPh sb="3" eb="4">
      <t>シャ</t>
    </rPh>
    <rPh sb="5" eb="7">
      <t>ナンニン</t>
    </rPh>
    <rPh sb="22" eb="24">
      <t>カンスウ</t>
    </rPh>
    <phoneticPr fontId="2"/>
  </si>
  <si>
    <t>　　｛ユーザー定義｝で「点」の単位</t>
    <rPh sb="7" eb="9">
      <t>テイギ</t>
    </rPh>
    <rPh sb="12" eb="13">
      <t>テン</t>
    </rPh>
    <rPh sb="15" eb="17">
      <t>タンイ</t>
    </rPh>
    <phoneticPr fontId="2"/>
  </si>
  <si>
    <t>真の場合</t>
    <rPh sb="0" eb="1">
      <t>シン</t>
    </rPh>
    <rPh sb="2" eb="4">
      <t>バアイ</t>
    </rPh>
    <phoneticPr fontId="2"/>
  </si>
  <si>
    <t>偽の場合</t>
    <rPh sb="0" eb="1">
      <t>ギ</t>
    </rPh>
    <rPh sb="2" eb="4">
      <t>バアイ</t>
    </rPh>
    <phoneticPr fontId="2"/>
  </si>
  <si>
    <t>NEW</t>
    <phoneticPr fontId="2"/>
  </si>
  <si>
    <t>この操作を利用すると、次のような事もできます。練習しましょう。</t>
    <rPh sb="2" eb="4">
      <t>ソウサ</t>
    </rPh>
    <rPh sb="5" eb="7">
      <t>リヨウ</t>
    </rPh>
    <rPh sb="11" eb="12">
      <t>ツギ</t>
    </rPh>
    <rPh sb="16" eb="17">
      <t>コト</t>
    </rPh>
    <rPh sb="23" eb="25">
      <t>レンシュウ</t>
    </rPh>
    <phoneticPr fontId="2"/>
  </si>
  <si>
    <t>　以下のような表があります。</t>
    <rPh sb="1" eb="3">
      <t>イカ</t>
    </rPh>
    <rPh sb="7" eb="8">
      <t>ヒョウ</t>
    </rPh>
    <phoneticPr fontId="2"/>
  </si>
  <si>
    <t>日付</t>
    <rPh sb="0" eb="2">
      <t>ヒヅケ</t>
    </rPh>
    <phoneticPr fontId="2"/>
  </si>
  <si>
    <t>入場者</t>
    <rPh sb="0" eb="3">
      <t>ニュウジョウシャ</t>
    </rPh>
    <phoneticPr fontId="2"/>
  </si>
  <si>
    <t>入場料</t>
    <rPh sb="0" eb="3">
      <t>ニュウジョウリョウ</t>
    </rPh>
    <phoneticPr fontId="2"/>
  </si>
  <si>
    <t>金額</t>
    <rPh sb="0" eb="2">
      <t>キンガク</t>
    </rPh>
    <phoneticPr fontId="2"/>
  </si>
  <si>
    <t>合計</t>
    <rPh sb="0" eb="2">
      <t>ゴウケイ</t>
    </rPh>
    <phoneticPr fontId="2"/>
  </si>
  <si>
    <t>簡単な表ですが</t>
    <rPh sb="0" eb="2">
      <t>カンタン</t>
    </rPh>
    <rPh sb="3" eb="4">
      <t>ヒョウ</t>
    </rPh>
    <phoneticPr fontId="2"/>
  </si>
  <si>
    <t>これでも良いのですが、</t>
    <rPh sb="4" eb="5">
      <t>ヨ</t>
    </rPh>
    <phoneticPr fontId="2"/>
  </si>
  <si>
    <t>※「""」＝何も表示するな！</t>
    <rPh sb="6" eb="7">
      <t>ナニ</t>
    </rPh>
    <rPh sb="8" eb="10">
      <t>ヒョウジ</t>
    </rPh>
    <phoneticPr fontId="2"/>
  </si>
  <si>
    <r>
      <t>⑤「</t>
    </r>
    <r>
      <rPr>
        <sz val="11"/>
        <color indexed="12"/>
        <rFont val="ＭＳ Ｐゴシック"/>
        <family val="3"/>
        <charset val="128"/>
      </rPr>
      <t>関数の引数</t>
    </r>
    <r>
      <rPr>
        <sz val="11"/>
        <rFont val="ＭＳ Ｐゴシック"/>
        <family val="3"/>
        <charset val="128"/>
      </rPr>
      <t>」画面が表示され｛論理式｝｛真の場合｝｛偽の場合｝を指定。</t>
    </r>
    <rPh sb="2" eb="4">
      <t>カンスウ</t>
    </rPh>
    <rPh sb="5" eb="7">
      <t>ヒキスウ</t>
    </rPh>
    <rPh sb="8" eb="10">
      <t>ガメン</t>
    </rPh>
    <rPh sb="11" eb="13">
      <t>ヒョウジ</t>
    </rPh>
    <rPh sb="16" eb="18">
      <t>ロンリ</t>
    </rPh>
    <rPh sb="18" eb="19">
      <t>シキ</t>
    </rPh>
    <rPh sb="21" eb="22">
      <t>マコト</t>
    </rPh>
    <rPh sb="23" eb="25">
      <t>バアイ</t>
    </rPh>
    <rPh sb="27" eb="28">
      <t>ギ</t>
    </rPh>
    <rPh sb="29" eb="31">
      <t>バアイ</t>
    </rPh>
    <rPh sb="33" eb="35">
      <t>シテイ</t>
    </rPh>
    <phoneticPr fontId="2"/>
  </si>
  <si>
    <t>②関数を命令す方法（「ホーム」タブのリボンの「数値」から選択でも可）</t>
    <rPh sb="1" eb="3">
      <t>カンスウ</t>
    </rPh>
    <rPh sb="4" eb="6">
      <t>メイレイ</t>
    </rPh>
    <rPh sb="7" eb="9">
      <t>ホウホウ</t>
    </rPh>
    <rPh sb="23" eb="25">
      <t>スウチ</t>
    </rPh>
    <rPh sb="28" eb="30">
      <t>センタク</t>
    </rPh>
    <rPh sb="32" eb="33">
      <t>カ</t>
    </rPh>
    <phoneticPr fontId="2"/>
  </si>
  <si>
    <t>青文字</t>
    <rPh sb="0" eb="1">
      <t>アオ</t>
    </rPh>
    <rPh sb="1" eb="3">
      <t>モジ</t>
    </rPh>
    <phoneticPr fontId="2"/>
  </si>
  <si>
    <t>赤文字</t>
    <rPh sb="0" eb="1">
      <t>アカ</t>
    </rPh>
    <rPh sb="1" eb="3">
      <t>モジ</t>
    </rPh>
    <phoneticPr fontId="2"/>
  </si>
  <si>
    <r>
      <t>入力モードを「</t>
    </r>
    <r>
      <rPr>
        <b/>
        <sz val="11"/>
        <color theme="4" tint="-0.249977111117893"/>
        <rFont val="ＭＳ Ｐゴシック"/>
        <family val="3"/>
        <charset val="128"/>
      </rPr>
      <t>半角/全角</t>
    </r>
    <r>
      <rPr>
        <b/>
        <sz val="11"/>
        <rFont val="ＭＳ Ｐゴシック"/>
        <family val="3"/>
        <charset val="128"/>
      </rPr>
      <t>」キーを押し「</t>
    </r>
    <r>
      <rPr>
        <b/>
        <sz val="11"/>
        <color indexed="10"/>
        <rFont val="ＭＳ Ｐゴシック"/>
        <family val="3"/>
        <charset val="128"/>
      </rPr>
      <t>半角英数</t>
    </r>
    <r>
      <rPr>
        <b/>
        <sz val="11"/>
        <rFont val="ＭＳ Ｐゴシック"/>
        <family val="3"/>
        <charset val="128"/>
      </rPr>
      <t>」にしましょう。</t>
    </r>
    <rPh sb="0" eb="2">
      <t>ニュウリョク</t>
    </rPh>
    <rPh sb="10" eb="12">
      <t>ゼンカク</t>
    </rPh>
    <rPh sb="16" eb="17">
      <t>オ</t>
    </rPh>
    <rPh sb="19" eb="21">
      <t>ハンカク</t>
    </rPh>
    <rPh sb="21" eb="23">
      <t>エイスウ</t>
    </rPh>
    <phoneticPr fontId="2"/>
  </si>
  <si>
    <r>
      <t>④最初に使う関数を</t>
    </r>
    <r>
      <rPr>
        <sz val="11"/>
        <color indexed="10"/>
        <rFont val="ＭＳ Ｐゴシック"/>
        <family val="3"/>
        <charset val="128"/>
      </rPr>
      <t>（１）</t>
    </r>
    <r>
      <rPr>
        <sz val="11"/>
        <color indexed="8"/>
        <rFont val="ＭＳ Ｐゴシック"/>
        <family val="3"/>
        <charset val="128"/>
      </rPr>
      <t>「</t>
    </r>
    <r>
      <rPr>
        <sz val="11"/>
        <rFont val="ＭＳ Ｐゴシック"/>
        <family val="3"/>
        <charset val="128"/>
      </rPr>
      <t>▼」をクリックして選択します。</t>
    </r>
    <rPh sb="1" eb="3">
      <t>サイショ</t>
    </rPh>
    <rPh sb="4" eb="5">
      <t>ツカ</t>
    </rPh>
    <rPh sb="6" eb="8">
      <t>カンスウ</t>
    </rPh>
    <rPh sb="22" eb="24">
      <t>センタク</t>
    </rPh>
    <phoneticPr fontId="2"/>
  </si>
  <si>
    <r>
      <t>関数の分類</t>
    </r>
    <r>
      <rPr>
        <sz val="14"/>
        <rFont val="ＭＳ Ｐゴシック"/>
        <family val="3"/>
        <charset val="128"/>
      </rPr>
      <t>＝</t>
    </r>
    <r>
      <rPr>
        <sz val="14"/>
        <color indexed="12"/>
        <rFont val="ＭＳ Ｐゴシック"/>
        <family val="3"/>
        <charset val="128"/>
      </rPr>
      <t>論理</t>
    </r>
    <rPh sb="6" eb="8">
      <t>ロンリ</t>
    </rPh>
    <phoneticPr fontId="2"/>
  </si>
  <si>
    <r>
      <t>③「</t>
    </r>
    <r>
      <rPr>
        <sz val="11"/>
        <color indexed="12"/>
        <rFont val="ＭＳ Ｐゴシック"/>
        <family val="3"/>
        <charset val="128"/>
      </rPr>
      <t>関数の分類</t>
    </r>
    <r>
      <rPr>
        <sz val="11"/>
        <rFont val="ＭＳ Ｐゴシック"/>
        <family val="3"/>
        <charset val="128"/>
      </rPr>
      <t>」で「</t>
    </r>
    <r>
      <rPr>
        <b/>
        <sz val="11"/>
        <color indexed="10"/>
        <rFont val="ＭＳ Ｐゴシック"/>
        <family val="3"/>
        <charset val="128"/>
      </rPr>
      <t>論理</t>
    </r>
    <r>
      <rPr>
        <sz val="11"/>
        <rFont val="ＭＳ Ｐゴシック"/>
        <family val="3"/>
        <charset val="128"/>
      </rPr>
      <t>」を選択。</t>
    </r>
    <rPh sb="2" eb="4">
      <t>カンスウ</t>
    </rPh>
    <rPh sb="5" eb="7">
      <t>ブンルイ</t>
    </rPh>
    <rPh sb="10" eb="12">
      <t>ロンリ</t>
    </rPh>
    <rPh sb="14" eb="16">
      <t>センタク</t>
    </rPh>
    <phoneticPr fontId="2"/>
  </si>
  <si>
    <r>
      <t>④「</t>
    </r>
    <r>
      <rPr>
        <sz val="11"/>
        <color indexed="12"/>
        <rFont val="ＭＳ Ｐゴシック"/>
        <family val="3"/>
        <charset val="128"/>
      </rPr>
      <t>関数名</t>
    </r>
    <r>
      <rPr>
        <sz val="11"/>
        <rFont val="ＭＳ Ｐゴシック"/>
        <family val="3"/>
        <charset val="128"/>
      </rPr>
      <t>」で「</t>
    </r>
    <r>
      <rPr>
        <b/>
        <sz val="11"/>
        <color indexed="10"/>
        <rFont val="ＭＳ Ｐゴシック"/>
        <family val="3"/>
        <charset val="128"/>
      </rPr>
      <t>IF</t>
    </r>
    <r>
      <rPr>
        <sz val="11"/>
        <rFont val="ＭＳ Ｐゴシック"/>
        <family val="3"/>
        <charset val="128"/>
      </rPr>
      <t>」を選択します。→「OK」</t>
    </r>
    <rPh sb="2" eb="4">
      <t>カンスウ</t>
    </rPh>
    <rPh sb="4" eb="5">
      <t>メイ</t>
    </rPh>
    <rPh sb="12" eb="14">
      <t>センタク</t>
    </rPh>
    <phoneticPr fontId="2"/>
  </si>
  <si>
    <r>
      <t>計算式を設定する際
　　　　　→</t>
    </r>
    <r>
      <rPr>
        <b/>
        <sz val="11"/>
        <rFont val="ＭＳ Ｐゴシック"/>
        <family val="3"/>
        <charset val="128"/>
      </rPr>
      <t>セルを選択後に</t>
    </r>
    <r>
      <rPr>
        <b/>
        <sz val="11"/>
        <color indexed="10"/>
        <rFont val="ＭＳ Ｐゴシック"/>
        <family val="3"/>
        <charset val="128"/>
      </rPr>
      <t>F4キーを押す</t>
    </r>
    <r>
      <rPr>
        <sz val="11"/>
        <rFont val="ＭＳ Ｐゴシック"/>
        <family val="3"/>
        <charset val="128"/>
      </rPr>
      <t xml:space="preserve">
そのセルの位置、セルの範囲を固定する事で
計算式を効率良く、コピーできます。</t>
    </r>
    <rPh sb="0" eb="2">
      <t>ケイサン</t>
    </rPh>
    <rPh sb="2" eb="3">
      <t>シキ</t>
    </rPh>
    <rPh sb="4" eb="6">
      <t>セッテイ</t>
    </rPh>
    <rPh sb="8" eb="9">
      <t>サイ</t>
    </rPh>
    <rPh sb="19" eb="21">
      <t>センタク</t>
    </rPh>
    <rPh sb="21" eb="22">
      <t>ゴ</t>
    </rPh>
    <rPh sb="28" eb="29">
      <t>オ</t>
    </rPh>
    <rPh sb="36" eb="38">
      <t>イチ</t>
    </rPh>
    <rPh sb="42" eb="44">
      <t>ハンイ</t>
    </rPh>
    <rPh sb="45" eb="47">
      <t>コテイ</t>
    </rPh>
    <rPh sb="49" eb="50">
      <t>コト</t>
    </rPh>
    <rPh sb="52" eb="54">
      <t>ケイサン</t>
    </rPh>
    <rPh sb="54" eb="55">
      <t>シキ</t>
    </rPh>
    <rPh sb="56" eb="58">
      <t>コウリツ</t>
    </rPh>
    <rPh sb="58" eb="59">
      <t>ヨ</t>
    </rPh>
    <phoneticPr fontId="2"/>
  </si>
  <si>
    <r>
      <t>■</t>
    </r>
    <r>
      <rPr>
        <sz val="11"/>
        <rFont val="ＭＳ Ｐゴシック"/>
        <family val="3"/>
        <charset val="128"/>
      </rPr>
      <t>に計算式を設定しましょう。</t>
    </r>
    <rPh sb="2" eb="4">
      <t>ケイサン</t>
    </rPh>
    <rPh sb="4" eb="5">
      <t>シキ</t>
    </rPh>
    <rPh sb="6" eb="8">
      <t>セッテイ</t>
    </rPh>
    <phoneticPr fontId="2"/>
  </si>
  <si>
    <r>
      <t>いずれの場合でも、ダブルコーテーション２つ「</t>
    </r>
    <r>
      <rPr>
        <b/>
        <sz val="11"/>
        <color indexed="10"/>
        <rFont val="ＭＳ Ｐゴシック"/>
        <family val="3"/>
        <charset val="128"/>
      </rPr>
      <t>""</t>
    </r>
    <r>
      <rPr>
        <b/>
        <sz val="11"/>
        <rFont val="ＭＳ Ｐゴシック"/>
        <family val="3"/>
        <charset val="128"/>
      </rPr>
      <t>」で何も表示するな！
の命令になります。</t>
    </r>
    <rPh sb="4" eb="6">
      <t>バアイ</t>
    </rPh>
    <rPh sb="26" eb="27">
      <t>ナニ</t>
    </rPh>
    <rPh sb="28" eb="30">
      <t>ヒョウジ</t>
    </rPh>
    <rPh sb="36" eb="38">
      <t>メイレイ</t>
    </rPh>
    <phoneticPr fontId="2"/>
  </si>
  <si>
    <r>
      <t>IF関数</t>
    </r>
    <r>
      <rPr>
        <sz val="11"/>
        <rFont val="ＭＳ Ｐゴシック"/>
        <family val="3"/>
        <charset val="128"/>
      </rPr>
      <t>で、非表示にする「</t>
    </r>
    <r>
      <rPr>
        <sz val="11"/>
        <color indexed="10"/>
        <rFont val="ＭＳ Ｐゴシック"/>
        <family val="3"/>
        <charset val="128"/>
      </rPr>
      <t>""</t>
    </r>
    <r>
      <rPr>
        <sz val="11"/>
        <rFont val="ＭＳ Ｐゴシック"/>
        <family val="3"/>
        <charset val="128"/>
      </rPr>
      <t>」を設定します。</t>
    </r>
    <rPh sb="2" eb="4">
      <t>カンスウ</t>
    </rPh>
    <rPh sb="6" eb="9">
      <t>ヒヒョウジ</t>
    </rPh>
    <rPh sb="17" eb="19">
      <t>セッテイ</t>
    </rPh>
    <phoneticPr fontId="2"/>
  </si>
  <si>
    <r>
      <t>■</t>
    </r>
    <r>
      <rPr>
        <sz val="11"/>
        <rFont val="ＭＳ Ｐゴシック"/>
        <family val="3"/>
        <charset val="128"/>
      </rPr>
      <t>部分はまだ、</t>
    </r>
    <r>
      <rPr>
        <sz val="11"/>
        <color rgb="FFFF0000"/>
        <rFont val="ＭＳ Ｐゴシック"/>
        <family val="3"/>
        <charset val="128"/>
      </rPr>
      <t>計算が必要でなければ</t>
    </r>
    <r>
      <rPr>
        <sz val="11"/>
        <rFont val="ＭＳ Ｐゴシック"/>
        <family val="3"/>
        <charset val="128"/>
      </rPr>
      <t>、</t>
    </r>
    <rPh sb="1" eb="3">
      <t>ブブン</t>
    </rPh>
    <rPh sb="7" eb="9">
      <t>ケイサン</t>
    </rPh>
    <rPh sb="10" eb="12">
      <t>ヒツヨウ</t>
    </rPh>
    <phoneticPr fontId="2"/>
  </si>
  <si>
    <r>
      <t xml:space="preserve">   ｢金額」の</t>
    </r>
    <r>
      <rPr>
        <b/>
        <sz val="11"/>
        <rFont val="ＭＳ Ｐゴシック"/>
        <family val="3"/>
        <charset val="128"/>
      </rPr>
      <t>「０」は</t>
    </r>
    <r>
      <rPr>
        <b/>
        <sz val="11"/>
        <color indexed="10"/>
        <rFont val="ＭＳ Ｐゴシック"/>
        <family val="3"/>
        <charset val="128"/>
      </rPr>
      <t>非表示</t>
    </r>
    <r>
      <rPr>
        <b/>
        <sz val="11"/>
        <rFont val="ＭＳ Ｐゴシック"/>
        <family val="3"/>
        <charset val="128"/>
      </rPr>
      <t>に出来ます。</t>
    </r>
    <phoneticPr fontId="2"/>
  </si>
  <si>
    <r>
      <t>｛</t>
    </r>
    <r>
      <rPr>
        <b/>
        <sz val="11"/>
        <rFont val="ＭＳ Ｐゴシック"/>
        <family val="3"/>
        <charset val="128"/>
      </rPr>
      <t>条件付き書式</t>
    </r>
    <r>
      <rPr>
        <sz val="11"/>
        <rFont val="ＭＳ Ｐゴシック"/>
        <family val="3"/>
        <charset val="128"/>
      </rPr>
      <t>｝で</t>
    </r>
    <rPh sb="1" eb="4">
      <t>ジョウケンツ</t>
    </rPh>
    <rPh sb="5" eb="7">
      <t>ショシキ</t>
    </rPh>
    <phoneticPr fontId="2"/>
  </si>
  <si>
    <r>
      <t>「</t>
    </r>
    <r>
      <rPr>
        <b/>
        <sz val="11"/>
        <rFont val="ＭＳ Ｐゴシック"/>
        <family val="3"/>
        <charset val="128"/>
      </rPr>
      <t>１５０点未満</t>
    </r>
    <r>
      <rPr>
        <sz val="11"/>
        <rFont val="ＭＳ Ｐゴシック"/>
        <family val="3"/>
        <charset val="128"/>
      </rPr>
      <t>」を｛</t>
    </r>
    <r>
      <rPr>
        <sz val="11"/>
        <color indexed="12"/>
        <rFont val="ＭＳ Ｐゴシック"/>
        <family val="3"/>
        <charset val="128"/>
      </rPr>
      <t>IF関数</t>
    </r>
    <r>
      <rPr>
        <sz val="11"/>
        <rFont val="ＭＳ Ｐゴシック"/>
        <family val="3"/>
        <charset val="128"/>
      </rPr>
      <t>｝で</t>
    </r>
    <r>
      <rPr>
        <sz val="11"/>
        <color indexed="10"/>
        <rFont val="ＭＳ Ｐゴシック"/>
        <family val="3"/>
        <charset val="128"/>
      </rPr>
      <t>不合格</t>
    </r>
    <rPh sb="5" eb="7">
      <t>ミマン</t>
    </rPh>
    <rPh sb="16" eb="17">
      <t>フ</t>
    </rPh>
    <phoneticPr fontId="2"/>
  </si>
  <si>
    <t>⑥「OK」で確定です。→下にドラッグでコピーします。</t>
    <rPh sb="6" eb="8">
      <t>カクテイ</t>
    </rPh>
    <rPh sb="12" eb="13">
      <t>シタ</t>
    </rPh>
    <phoneticPr fontId="2"/>
  </si>
  <si>
    <t>１５０未満</t>
    <rPh sb="3" eb="5">
      <t>ミマン</t>
    </rPh>
    <phoneticPr fontId="2"/>
  </si>
  <si>
    <t>「１５０点未満」を</t>
    <rPh sb="4" eb="5">
      <t>テン</t>
    </rPh>
    <rPh sb="5" eb="7">
      <t>ミマン</t>
    </rPh>
    <phoneticPr fontId="2"/>
  </si>
  <si>
    <r>
      <t>■</t>
    </r>
    <r>
      <rPr>
        <sz val="11"/>
        <rFont val="ＭＳ Ｐゴシック"/>
        <family val="3"/>
        <charset val="128"/>
      </rPr>
      <t>に設定した計算式を下にドラッグしてコピーした結果です。</t>
    </r>
    <rPh sb="2" eb="4">
      <t>セッテイ</t>
    </rPh>
    <rPh sb="6" eb="8">
      <t>ケイサン</t>
    </rPh>
    <rPh sb="8" eb="9">
      <t>シキ</t>
    </rPh>
    <rPh sb="10" eb="11">
      <t>シタ</t>
    </rPh>
    <rPh sb="23" eb="25">
      <t>ケッカ</t>
    </rPh>
    <phoneticPr fontId="2"/>
  </si>
  <si>
    <t>Copyright(c) Beginners Site All right reserved 2011/01/01</t>
    <phoneticPr fontId="2"/>
  </si>
  <si>
    <r>
      <t>⑤</t>
    </r>
    <r>
      <rPr>
        <sz val="11"/>
        <color indexed="10"/>
        <rFont val="ＭＳ Ｐゴシック"/>
        <family val="3"/>
        <charset val="128"/>
      </rPr>
      <t>（２）</t>
    </r>
    <r>
      <rPr>
        <sz val="11"/>
        <rFont val="ＭＳ Ｐゴシック"/>
        <family val="3"/>
        <charset val="128"/>
      </rPr>
      <t>「</t>
    </r>
    <r>
      <rPr>
        <sz val="11"/>
        <color indexed="12"/>
        <rFont val="ＭＳ Ｐゴシック"/>
        <family val="3"/>
        <charset val="128"/>
      </rPr>
      <t>関数名</t>
    </r>
    <r>
      <rPr>
        <sz val="11"/>
        <rFont val="ＭＳ Ｐゴシック"/>
        <family val="3"/>
        <charset val="128"/>
      </rPr>
      <t>」のリストから、使用する関数を選択します。</t>
    </r>
    <rPh sb="5" eb="8">
      <t>カンスウメイ</t>
    </rPh>
    <rPh sb="16" eb="18">
      <t>シヨウ</t>
    </rPh>
    <rPh sb="20" eb="22">
      <t>カンスウ</t>
    </rPh>
    <rPh sb="23" eb="25">
      <t>センタク</t>
    </rPh>
    <phoneticPr fontId="2"/>
  </si>
  <si>
    <r>
      <t>２、「数式バー」の左横にある、　　「</t>
    </r>
    <r>
      <rPr>
        <sz val="11"/>
        <color indexed="12"/>
        <rFont val="ＭＳ Ｐゴシック"/>
        <family val="3"/>
        <charset val="128"/>
      </rPr>
      <t>関数の挿入</t>
    </r>
    <r>
      <rPr>
        <sz val="11"/>
        <rFont val="ＭＳ Ｐゴシック"/>
        <family val="3"/>
        <charset val="128"/>
      </rPr>
      <t>」ボタンをクリック</t>
    </r>
    <rPh sb="3" eb="5">
      <t>スウシキ</t>
    </rPh>
    <rPh sb="9" eb="10">
      <t>ヒダリ</t>
    </rPh>
    <rPh sb="10" eb="11">
      <t>ヨコ</t>
    </rPh>
    <rPh sb="18" eb="20">
      <t>カンスウ</t>
    </rPh>
    <rPh sb="21" eb="23">
      <t>ソウニュウ</t>
    </rPh>
    <phoneticPr fontId="2"/>
  </si>
  <si>
    <r>
      <t>「合格者」の合計点は何点でしょう。</t>
    </r>
    <r>
      <rPr>
        <sz val="11"/>
        <color indexed="10"/>
        <rFont val="ＭＳ Ｐゴシック"/>
        <family val="3"/>
        <charset val="128"/>
      </rPr>
      <t>SUMIF関数</t>
    </r>
    <rPh sb="22" eb="24">
      <t>カンスウ</t>
    </rPh>
    <phoneticPr fontId="2"/>
  </si>
  <si>
    <t>　　※「もし、このセルがこうであれば、このように表示しなさい」</t>
    <rPh sb="24" eb="26">
      <t>ヒョウジ</t>
    </rPh>
    <phoneticPr fontId="2"/>
  </si>
  <si>
    <t>以下、発展問題(問題2)</t>
    <rPh sb="0" eb="2">
      <t>イカ</t>
    </rPh>
    <rPh sb="3" eb="5">
      <t>ハッテン</t>
    </rPh>
    <rPh sb="5" eb="7">
      <t>モンダイ</t>
    </rPh>
    <rPh sb="8" eb="10">
      <t>モンダイ</t>
    </rPh>
    <phoneticPr fontId="2"/>
  </si>
  <si>
    <t>以下、発展問題(問題2～問題5)</t>
    <rPh sb="0" eb="2">
      <t>イカ</t>
    </rPh>
    <rPh sb="3" eb="5">
      <t>ハッテン</t>
    </rPh>
    <rPh sb="5" eb="7">
      <t>モンダイ</t>
    </rPh>
    <rPh sb="8" eb="10">
      <t>モンダイ</t>
    </rPh>
    <rPh sb="12" eb="14">
      <t>モンダイ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</si>
</sst>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76" formatCode="#,###&quot;円&quot;"/>
    <numFmt numFmtId="177" formatCode="#,###&quot;個&quot;"/>
    <numFmt numFmtId="178" formatCode="yyyy&quot;年&quot;mm&quot;月&quot;;@"/>
    <numFmt numFmtId="179" formatCode="#,###&quot;点&quot;"/>
    <numFmt numFmtId="180" formatCode="0_ "/>
    <numFmt numFmtId="181" formatCode="###&quot;点&quot;"/>
    <numFmt numFmtId="182" formatCode="#,##0\ &quot;位&quot;"/>
  </numFmts>
  <fonts count="34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1"/>
      <color indexed="13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12"/>
      <name val="ＭＳ Ｐゴシック"/>
      <family val="3"/>
      <charset val="128"/>
    </font>
    <font>
      <sz val="11"/>
      <color indexed="43"/>
      <name val="ＭＳ Ｐゴシック"/>
      <family val="3"/>
      <charset val="128"/>
    </font>
    <font>
      <sz val="11"/>
      <color indexed="14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4"/>
      <color indexed="13"/>
      <name val="ＭＳ Ｐゴシック"/>
      <family val="3"/>
      <charset val="128"/>
    </font>
    <font>
      <sz val="11"/>
      <color indexed="81"/>
      <name val="ＭＳ Ｐゴシック"/>
      <family val="3"/>
      <charset val="128"/>
    </font>
    <font>
      <b/>
      <sz val="11"/>
      <color indexed="17"/>
      <name val="ＭＳ Ｐゴシック"/>
      <family val="3"/>
      <charset val="128"/>
    </font>
    <font>
      <b/>
      <sz val="11"/>
      <color indexed="12"/>
      <name val="ＭＳ Ｐゴシック"/>
      <family val="3"/>
      <charset val="128"/>
    </font>
    <font>
      <b/>
      <sz val="11"/>
      <color indexed="81"/>
      <name val="ＭＳ Ｐゴシック"/>
      <family val="3"/>
      <charset val="128"/>
    </font>
    <font>
      <sz val="12"/>
      <color indexed="81"/>
      <name val="ＭＳ Ｐゴシック"/>
      <family val="3"/>
      <charset val="128"/>
    </font>
    <font>
      <sz val="10"/>
      <color indexed="81"/>
      <name val="ＭＳ Ｐゴシック"/>
      <family val="3"/>
      <charset val="128"/>
    </font>
    <font>
      <b/>
      <sz val="10"/>
      <color indexed="81"/>
      <name val="ＭＳ Ｐゴシック"/>
      <family val="3"/>
      <charset val="128"/>
    </font>
    <font>
      <sz val="11"/>
      <color indexed="43"/>
      <name val="Century"/>
      <family val="1"/>
    </font>
    <font>
      <b/>
      <sz val="11"/>
      <color theme="4" tint="-0.249977111117893"/>
      <name val="ＭＳ Ｐゴシック"/>
      <family val="3"/>
      <charset val="128"/>
    </font>
    <font>
      <b/>
      <sz val="11"/>
      <color indexed="14"/>
      <name val="ＭＳ Ｐゴシック"/>
      <family val="3"/>
      <charset val="128"/>
    </font>
    <font>
      <sz val="14"/>
      <name val="ＭＳ Ｐゴシック"/>
      <family val="3"/>
      <charset val="128"/>
    </font>
    <font>
      <sz val="14"/>
      <color indexed="1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3"/>
      <name val="ＭＳ Ｐゴシック"/>
      <family val="3"/>
      <charset val="128"/>
    </font>
    <font>
      <b/>
      <sz val="11"/>
      <color indexed="20"/>
      <name val="ＭＳ Ｐゴシック"/>
      <family val="3"/>
      <charset val="128"/>
    </font>
    <font>
      <sz val="11"/>
      <color indexed="50"/>
      <name val="ＭＳ Ｐゴシック"/>
      <family val="3"/>
      <charset val="128"/>
    </font>
    <font>
      <sz val="11"/>
      <color indexed="51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4"/>
      <color indexed="81"/>
      <name val="ＭＳ Ｐゴシック"/>
      <family val="3"/>
      <charset val="128"/>
    </font>
    <font>
      <sz val="14"/>
      <color indexed="10"/>
      <name val="ＭＳ Ｐゴシック"/>
      <family val="3"/>
      <charset val="128"/>
    </font>
    <font>
      <b/>
      <sz val="14"/>
      <color indexed="81"/>
      <name val="ＭＳ Ｐゴシック"/>
      <family val="3"/>
      <charset val="128"/>
    </font>
    <font>
      <sz val="2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78">
    <xf numFmtId="0" fontId="0" fillId="0" borderId="0" xfId="0">
      <alignment vertical="center"/>
    </xf>
    <xf numFmtId="0" fontId="3" fillId="0" borderId="0" xfId="0" applyFont="1">
      <alignment vertical="center"/>
    </xf>
    <xf numFmtId="0" fontId="7" fillId="2" borderId="1" xfId="0" applyFont="1" applyFill="1" applyBorder="1">
      <alignment vertical="center"/>
    </xf>
    <xf numFmtId="0" fontId="7" fillId="2" borderId="2" xfId="0" applyFont="1" applyFill="1" applyBorder="1">
      <alignment vertical="center"/>
    </xf>
    <xf numFmtId="0" fontId="7" fillId="2" borderId="3" xfId="0" applyFont="1" applyFill="1" applyBorder="1">
      <alignment vertical="center"/>
    </xf>
    <xf numFmtId="0" fontId="7" fillId="2" borderId="4" xfId="0" applyFont="1" applyFill="1" applyBorder="1">
      <alignment vertical="center"/>
    </xf>
    <xf numFmtId="0" fontId="7" fillId="2" borderId="0" xfId="0" applyFont="1" applyFill="1" applyBorder="1">
      <alignment vertical="center"/>
    </xf>
    <xf numFmtId="0" fontId="7" fillId="2" borderId="5" xfId="0" applyFont="1" applyFill="1" applyBorder="1">
      <alignment vertical="center"/>
    </xf>
    <xf numFmtId="0" fontId="7" fillId="2" borderId="6" xfId="0" applyFont="1" applyFill="1" applyBorder="1">
      <alignment vertical="center"/>
    </xf>
    <xf numFmtId="0" fontId="7" fillId="2" borderId="7" xfId="0" applyFont="1" applyFill="1" applyBorder="1">
      <alignment vertical="center"/>
    </xf>
    <xf numFmtId="0" fontId="7" fillId="2" borderId="8" xfId="0" applyFont="1" applyFill="1" applyBorder="1">
      <alignment vertical="center"/>
    </xf>
    <xf numFmtId="0" fontId="3" fillId="3" borderId="0" xfId="0" applyFont="1" applyFill="1">
      <alignment vertical="center"/>
    </xf>
    <xf numFmtId="38" fontId="0" fillId="0" borderId="0" xfId="1" applyFont="1" applyFill="1" applyBorder="1">
      <alignment vertical="center"/>
    </xf>
    <xf numFmtId="38" fontId="5" fillId="0" borderId="0" xfId="1" applyFont="1" applyFill="1" applyBorder="1" applyAlignment="1">
      <alignment horizontal="center" vertical="center"/>
    </xf>
    <xf numFmtId="0" fontId="10" fillId="0" borderId="0" xfId="0" applyFont="1" applyFill="1" applyBorder="1">
      <alignment vertical="center"/>
    </xf>
    <xf numFmtId="38" fontId="10" fillId="6" borderId="20" xfId="0" applyNumberFormat="1" applyFont="1" applyFill="1" applyBorder="1">
      <alignment vertical="center"/>
    </xf>
    <xf numFmtId="0" fontId="10" fillId="6" borderId="21" xfId="0" applyFont="1" applyFill="1" applyBorder="1">
      <alignment vertical="center"/>
    </xf>
    <xf numFmtId="0" fontId="10" fillId="6" borderId="22" xfId="0" applyFont="1" applyFill="1" applyBorder="1">
      <alignment vertical="center"/>
    </xf>
    <xf numFmtId="38" fontId="10" fillId="6" borderId="20" xfId="0" applyNumberFormat="1" applyFont="1" applyFill="1" applyBorder="1" applyAlignment="1">
      <alignment horizontal="center" vertical="center"/>
    </xf>
    <xf numFmtId="0" fontId="10" fillId="6" borderId="21" xfId="0" applyFont="1" applyFill="1" applyBorder="1" applyAlignment="1">
      <alignment horizontal="center" vertical="center"/>
    </xf>
    <xf numFmtId="0" fontId="10" fillId="6" borderId="22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0" fontId="3" fillId="7" borderId="10" xfId="0" applyFont="1" applyFill="1" applyBorder="1" applyAlignment="1">
      <alignment horizontal="center" vertical="center"/>
    </xf>
    <xf numFmtId="0" fontId="3" fillId="0" borderId="18" xfId="0" applyNumberFormat="1" applyFont="1" applyFill="1" applyBorder="1" applyAlignment="1"/>
    <xf numFmtId="0" fontId="3" fillId="0" borderId="12" xfId="0" applyNumberFormat="1" applyFont="1" applyFill="1" applyBorder="1" applyAlignment="1"/>
    <xf numFmtId="0" fontId="3" fillId="0" borderId="14" xfId="0" applyNumberFormat="1" applyFont="1" applyFill="1" applyBorder="1" applyAlignment="1"/>
    <xf numFmtId="0" fontId="14" fillId="8" borderId="0" xfId="0" applyNumberFormat="1" applyFont="1" applyFill="1" applyBorder="1" applyAlignment="1"/>
    <xf numFmtId="0" fontId="9" fillId="9" borderId="0" xfId="0" applyNumberFormat="1" applyFont="1" applyFill="1" applyBorder="1" applyAlignment="1"/>
    <xf numFmtId="0" fontId="3" fillId="0" borderId="27" xfId="0" applyNumberFormat="1" applyFont="1" applyFill="1" applyBorder="1" applyAlignment="1"/>
    <xf numFmtId="0" fontId="3" fillId="0" borderId="28" xfId="0" applyFont="1" applyBorder="1">
      <alignment vertical="center"/>
    </xf>
    <xf numFmtId="180" fontId="3" fillId="6" borderId="28" xfId="0" applyNumberFormat="1" applyFont="1" applyFill="1" applyBorder="1">
      <alignment vertical="center"/>
    </xf>
    <xf numFmtId="0" fontId="3" fillId="5" borderId="9" xfId="0" applyFont="1" applyFill="1" applyBorder="1">
      <alignment vertical="center"/>
    </xf>
    <xf numFmtId="38" fontId="0" fillId="0" borderId="10" xfId="1" applyFont="1" applyBorder="1">
      <alignment vertical="center"/>
    </xf>
    <xf numFmtId="38" fontId="0" fillId="11" borderId="10" xfId="1" applyFont="1" applyFill="1" applyBorder="1">
      <alignment vertical="center"/>
    </xf>
    <xf numFmtId="38" fontId="0" fillId="12" borderId="10" xfId="1" applyFont="1" applyFill="1" applyBorder="1">
      <alignment vertical="center"/>
    </xf>
    <xf numFmtId="38" fontId="0" fillId="6" borderId="10" xfId="1" applyFont="1" applyFill="1" applyBorder="1">
      <alignment vertical="center"/>
    </xf>
    <xf numFmtId="0" fontId="0" fillId="0" borderId="0" xfId="0" applyFont="1">
      <alignment vertical="center"/>
    </xf>
    <xf numFmtId="0" fontId="3" fillId="0" borderId="0" xfId="0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center" vertical="center"/>
    </xf>
    <xf numFmtId="0" fontId="21" fillId="0" borderId="0" xfId="0" applyFont="1">
      <alignment vertical="center"/>
    </xf>
    <xf numFmtId="0" fontId="21" fillId="0" borderId="0" xfId="0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0" fillId="0" borderId="0" xfId="0" applyFont="1" applyBorder="1" applyAlignment="1">
      <alignment horizontal="center" vertical="center"/>
    </xf>
    <xf numFmtId="176" fontId="0" fillId="0" borderId="0" xfId="1" applyNumberFormat="1" applyFont="1" applyBorder="1">
      <alignment vertical="center"/>
    </xf>
    <xf numFmtId="177" fontId="0" fillId="0" borderId="0" xfId="1" applyNumberFormat="1" applyFont="1" applyBorder="1">
      <alignment vertical="center"/>
    </xf>
    <xf numFmtId="0" fontId="0" fillId="0" borderId="0" xfId="0" applyFont="1" applyFill="1" applyBorder="1">
      <alignment vertical="center"/>
    </xf>
    <xf numFmtId="0" fontId="0" fillId="0" borderId="0" xfId="0" applyFont="1" applyAlignment="1">
      <alignment horizontal="left" vertical="center" indent="1"/>
    </xf>
    <xf numFmtId="0" fontId="0" fillId="0" borderId="0" xfId="0" applyFont="1" applyAlignment="1">
      <alignment vertical="center"/>
    </xf>
    <xf numFmtId="0" fontId="0" fillId="3" borderId="0" xfId="0" applyFont="1" applyFill="1">
      <alignment vertical="center"/>
    </xf>
    <xf numFmtId="0" fontId="0" fillId="4" borderId="9" xfId="0" applyFont="1" applyFill="1" applyBorder="1">
      <alignment vertical="center"/>
    </xf>
    <xf numFmtId="0" fontId="0" fillId="0" borderId="0" xfId="0" applyFont="1" applyBorder="1" applyAlignment="1">
      <alignment horizontal="center"/>
    </xf>
    <xf numFmtId="0" fontId="0" fillId="0" borderId="17" xfId="0" applyFont="1" applyFill="1" applyBorder="1">
      <alignment vertical="center"/>
    </xf>
    <xf numFmtId="0" fontId="0" fillId="0" borderId="18" xfId="0" applyFont="1" applyFill="1" applyBorder="1">
      <alignment vertical="center"/>
    </xf>
    <xf numFmtId="0" fontId="0" fillId="0" borderId="0" xfId="0" applyFont="1" applyFill="1">
      <alignment vertical="center"/>
    </xf>
    <xf numFmtId="0" fontId="0" fillId="0" borderId="11" xfId="0" applyFont="1" applyFill="1" applyBorder="1">
      <alignment vertical="center"/>
    </xf>
    <xf numFmtId="0" fontId="0" fillId="0" borderId="12" xfId="0" applyFont="1" applyFill="1" applyBorder="1">
      <alignment vertical="center"/>
    </xf>
    <xf numFmtId="0" fontId="0" fillId="5" borderId="9" xfId="0" applyFont="1" applyFill="1" applyBorder="1">
      <alignment vertical="center"/>
    </xf>
    <xf numFmtId="0" fontId="0" fillId="0" borderId="0" xfId="0" applyFont="1" applyAlignment="1">
      <alignment horizontal="right" vertical="center"/>
    </xf>
    <xf numFmtId="0" fontId="0" fillId="0" borderId="13" xfId="0" applyFont="1" applyFill="1" applyBorder="1">
      <alignment vertical="center"/>
    </xf>
    <xf numFmtId="0" fontId="0" fillId="0" borderId="14" xfId="0" applyFont="1" applyBorder="1">
      <alignment vertical="center"/>
    </xf>
    <xf numFmtId="38" fontId="0" fillId="0" borderId="0" xfId="1" applyFont="1" applyBorder="1" applyAlignment="1"/>
    <xf numFmtId="49" fontId="0" fillId="0" borderId="0" xfId="0" applyNumberFormat="1" applyFont="1" applyBorder="1" applyAlignment="1">
      <alignment horizontal="center"/>
    </xf>
    <xf numFmtId="0" fontId="0" fillId="0" borderId="10" xfId="0" applyFont="1" applyBorder="1">
      <alignment vertical="center"/>
    </xf>
    <xf numFmtId="0" fontId="0" fillId="0" borderId="10" xfId="0" applyFont="1" applyBorder="1" applyAlignment="1">
      <alignment horizontal="center" vertical="center"/>
    </xf>
    <xf numFmtId="0" fontId="0" fillId="0" borderId="0" xfId="0" applyFont="1" applyFill="1" applyBorder="1" applyAlignment="1">
      <alignment horizontal="center"/>
    </xf>
    <xf numFmtId="178" fontId="0" fillId="0" borderId="0" xfId="0" applyNumberFormat="1" applyFont="1" applyBorder="1">
      <alignment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 wrapText="1"/>
    </xf>
    <xf numFmtId="49" fontId="0" fillId="0" borderId="0" xfId="0" applyNumberFormat="1" applyFont="1" applyFill="1" applyBorder="1" applyAlignment="1">
      <alignment horizontal="center"/>
    </xf>
    <xf numFmtId="0" fontId="25" fillId="0" borderId="0" xfId="0" applyFont="1">
      <alignment vertical="center"/>
    </xf>
    <xf numFmtId="0" fontId="0" fillId="0" borderId="0" xfId="0" applyFont="1" applyAlignment="1">
      <alignment horizontal="left" vertical="center"/>
    </xf>
    <xf numFmtId="0" fontId="0" fillId="0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centerContinuous"/>
    </xf>
    <xf numFmtId="0" fontId="0" fillId="0" borderId="17" xfId="0" applyNumberFormat="1" applyFont="1" applyFill="1" applyBorder="1" applyAlignment="1">
      <alignment horizontal="center"/>
    </xf>
    <xf numFmtId="0" fontId="0" fillId="0" borderId="18" xfId="0" applyNumberFormat="1" applyFont="1" applyFill="1" applyBorder="1" applyAlignment="1"/>
    <xf numFmtId="0" fontId="0" fillId="6" borderId="20" xfId="0" applyNumberFormat="1" applyFont="1" applyFill="1" applyBorder="1" applyAlignment="1">
      <alignment horizontal="center"/>
    </xf>
    <xf numFmtId="0" fontId="0" fillId="0" borderId="11" xfId="0" applyNumberFormat="1" applyFont="1" applyFill="1" applyBorder="1" applyAlignment="1">
      <alignment horizontal="center"/>
    </xf>
    <xf numFmtId="0" fontId="0" fillId="0" borderId="12" xfId="0" applyNumberFormat="1" applyFont="1" applyFill="1" applyBorder="1" applyAlignment="1"/>
    <xf numFmtId="0" fontId="0" fillId="6" borderId="21" xfId="0" applyNumberFormat="1" applyFont="1" applyFill="1" applyBorder="1" applyAlignment="1">
      <alignment horizontal="center"/>
    </xf>
    <xf numFmtId="0" fontId="0" fillId="0" borderId="13" xfId="0" applyNumberFormat="1" applyFont="1" applyFill="1" applyBorder="1" applyAlignment="1">
      <alignment horizontal="center"/>
    </xf>
    <xf numFmtId="0" fontId="0" fillId="0" borderId="14" xfId="0" applyNumberFormat="1" applyFont="1" applyFill="1" applyBorder="1" applyAlignment="1"/>
    <xf numFmtId="0" fontId="0" fillId="6" borderId="22" xfId="0" applyNumberFormat="1" applyFont="1" applyFill="1" applyBorder="1" applyAlignment="1">
      <alignment horizontal="center"/>
    </xf>
    <xf numFmtId="0" fontId="0" fillId="7" borderId="10" xfId="0" applyFont="1" applyFill="1" applyBorder="1" applyAlignment="1">
      <alignment horizontal="center" vertical="center"/>
    </xf>
    <xf numFmtId="0" fontId="0" fillId="20" borderId="18" xfId="0" applyNumberFormat="1" applyFont="1" applyFill="1" applyBorder="1" applyAlignment="1"/>
    <xf numFmtId="0" fontId="0" fillId="20" borderId="20" xfId="0" applyNumberFormat="1" applyFont="1" applyFill="1" applyBorder="1" applyAlignment="1">
      <alignment horizontal="center"/>
    </xf>
    <xf numFmtId="0" fontId="0" fillId="20" borderId="12" xfId="0" applyNumberFormat="1" applyFont="1" applyFill="1" applyBorder="1" applyAlignment="1"/>
    <xf numFmtId="0" fontId="0" fillId="20" borderId="21" xfId="0" applyNumberFormat="1" applyFont="1" applyFill="1" applyBorder="1" applyAlignment="1">
      <alignment horizontal="center"/>
    </xf>
    <xf numFmtId="0" fontId="0" fillId="0" borderId="26" xfId="0" applyNumberFormat="1" applyFont="1" applyFill="1" applyBorder="1" applyAlignment="1">
      <alignment horizontal="center"/>
    </xf>
    <xf numFmtId="0" fontId="0" fillId="20" borderId="27" xfId="0" applyNumberFormat="1" applyFont="1" applyFill="1" applyBorder="1" applyAlignment="1"/>
    <xf numFmtId="0" fontId="0" fillId="20" borderId="31" xfId="0" applyNumberFormat="1" applyFont="1" applyFill="1" applyBorder="1" applyAlignment="1">
      <alignment horizontal="center"/>
    </xf>
    <xf numFmtId="0" fontId="0" fillId="20" borderId="14" xfId="0" applyNumberFormat="1" applyFont="1" applyFill="1" applyBorder="1" applyAlignment="1"/>
    <xf numFmtId="0" fontId="0" fillId="20" borderId="22" xfId="0" applyNumberFormat="1" applyFont="1" applyFill="1" applyBorder="1" applyAlignment="1">
      <alignment horizontal="center"/>
    </xf>
    <xf numFmtId="0" fontId="3" fillId="0" borderId="29" xfId="0" applyFont="1" applyBorder="1" applyAlignment="1">
      <alignment horizontal="center" vertical="center"/>
    </xf>
    <xf numFmtId="0" fontId="0" fillId="10" borderId="28" xfId="0" applyFont="1" applyFill="1" applyBorder="1">
      <alignment vertical="center"/>
    </xf>
    <xf numFmtId="0" fontId="0" fillId="10" borderId="30" xfId="0" applyFont="1" applyFill="1" applyBorder="1">
      <alignment vertical="center"/>
    </xf>
    <xf numFmtId="0" fontId="0" fillId="0" borderId="0" xfId="0" applyFont="1" applyAlignment="1">
      <alignment horizontal="center" vertical="center"/>
    </xf>
    <xf numFmtId="0" fontId="27" fillId="0" borderId="0" xfId="0" applyFont="1">
      <alignment vertical="center"/>
    </xf>
    <xf numFmtId="56" fontId="0" fillId="0" borderId="10" xfId="0" applyNumberFormat="1" applyFont="1" applyBorder="1">
      <alignment vertical="center"/>
    </xf>
    <xf numFmtId="0" fontId="28" fillId="0" borderId="0" xfId="0" applyFont="1">
      <alignment vertical="center"/>
    </xf>
    <xf numFmtId="56" fontId="0" fillId="0" borderId="10" xfId="0" applyNumberFormat="1" applyFont="1" applyBorder="1" applyAlignment="1">
      <alignment horizontal="center" vertical="center"/>
    </xf>
    <xf numFmtId="56" fontId="0" fillId="0" borderId="0" xfId="0" applyNumberFormat="1" applyFont="1">
      <alignment vertical="center"/>
    </xf>
    <xf numFmtId="56" fontId="0" fillId="21" borderId="10" xfId="0" applyNumberFormat="1" applyFont="1" applyFill="1" applyBorder="1">
      <alignment vertical="center"/>
    </xf>
    <xf numFmtId="0" fontId="0" fillId="0" borderId="0" xfId="0" applyNumberFormat="1" applyFill="1" applyBorder="1" applyAlignment="1">
      <alignment horizontal="left"/>
    </xf>
    <xf numFmtId="0" fontId="0" fillId="21" borderId="15" xfId="0" applyFont="1" applyFill="1" applyBorder="1" applyAlignment="1">
      <alignment horizontal="center" vertical="center"/>
    </xf>
    <xf numFmtId="0" fontId="0" fillId="21" borderId="16" xfId="0" applyFont="1" applyFill="1" applyBorder="1">
      <alignment vertical="center"/>
    </xf>
    <xf numFmtId="0" fontId="10" fillId="21" borderId="19" xfId="0" applyFont="1" applyFill="1" applyBorder="1" applyAlignment="1">
      <alignment horizontal="center" vertical="center"/>
    </xf>
    <xf numFmtId="0" fontId="0" fillId="0" borderId="10" xfId="0" applyBorder="1">
      <alignment vertical="center"/>
    </xf>
    <xf numFmtId="0" fontId="0" fillId="21" borderId="23" xfId="0" applyNumberFormat="1" applyFont="1" applyFill="1" applyBorder="1" applyAlignment="1">
      <alignment horizontal="center"/>
    </xf>
    <xf numFmtId="0" fontId="0" fillId="21" borderId="24" xfId="0" applyNumberFormat="1" applyFont="1" applyFill="1" applyBorder="1" applyAlignment="1">
      <alignment horizontal="center"/>
    </xf>
    <xf numFmtId="0" fontId="0" fillId="21" borderId="25" xfId="0" applyNumberFormat="1" applyFont="1" applyFill="1" applyBorder="1" applyAlignment="1">
      <alignment horizontal="center"/>
    </xf>
    <xf numFmtId="0" fontId="0" fillId="0" borderId="0" xfId="0" applyAlignment="1">
      <alignment horizontal="left" vertical="center"/>
    </xf>
    <xf numFmtId="0" fontId="14" fillId="22" borderId="0" xfId="0" applyFont="1" applyFill="1">
      <alignment vertical="center"/>
    </xf>
    <xf numFmtId="0" fontId="0" fillId="22" borderId="0" xfId="0" applyFont="1" applyFill="1">
      <alignment vertical="center"/>
    </xf>
    <xf numFmtId="0" fontId="0" fillId="23" borderId="10" xfId="0" applyFont="1" applyFill="1" applyBorder="1">
      <alignment vertical="center"/>
    </xf>
    <xf numFmtId="181" fontId="0" fillId="23" borderId="10" xfId="0" applyNumberFormat="1" applyFont="1" applyFill="1" applyBorder="1">
      <alignment vertical="center"/>
    </xf>
    <xf numFmtId="0" fontId="0" fillId="25" borderId="0" xfId="0" applyFont="1" applyFill="1">
      <alignment vertical="center"/>
    </xf>
    <xf numFmtId="0" fontId="0" fillId="25" borderId="10" xfId="0" applyFont="1" applyFill="1" applyBorder="1" applyAlignment="1">
      <alignment horizontal="center" vertical="center"/>
    </xf>
    <xf numFmtId="182" fontId="0" fillId="25" borderId="10" xfId="0" applyNumberFormat="1" applyFont="1" applyFill="1" applyBorder="1" applyAlignment="1">
      <alignment horizontal="center" vertical="center"/>
    </xf>
    <xf numFmtId="179" fontId="0" fillId="25" borderId="10" xfId="0" applyNumberFormat="1" applyFont="1" applyFill="1" applyBorder="1">
      <alignment vertical="center"/>
    </xf>
    <xf numFmtId="0" fontId="0" fillId="25" borderId="10" xfId="0" applyFont="1" applyFill="1" applyBorder="1">
      <alignment vertical="center"/>
    </xf>
    <xf numFmtId="0" fontId="0" fillId="26" borderId="10" xfId="0" applyFont="1" applyFill="1" applyBorder="1" applyAlignment="1">
      <alignment horizontal="center" vertical="center"/>
    </xf>
    <xf numFmtId="0" fontId="0" fillId="25" borderId="0" xfId="0" applyNumberFormat="1" applyFont="1" applyFill="1" applyBorder="1" applyAlignment="1">
      <alignment horizontal="left"/>
    </xf>
    <xf numFmtId="0" fontId="26" fillId="25" borderId="0" xfId="0" applyFont="1" applyFill="1">
      <alignment vertical="center"/>
    </xf>
    <xf numFmtId="0" fontId="3" fillId="15" borderId="1" xfId="0" applyFont="1" applyFill="1" applyBorder="1" applyAlignment="1">
      <alignment horizontal="center" vertical="center"/>
    </xf>
    <xf numFmtId="0" fontId="3" fillId="15" borderId="2" xfId="0" applyFont="1" applyFill="1" applyBorder="1" applyAlignment="1">
      <alignment horizontal="center" vertical="center"/>
    </xf>
    <xf numFmtId="0" fontId="3" fillId="15" borderId="3" xfId="0" applyFont="1" applyFill="1" applyBorder="1" applyAlignment="1">
      <alignment horizontal="center" vertical="center"/>
    </xf>
    <xf numFmtId="0" fontId="3" fillId="15" borderId="6" xfId="0" applyFont="1" applyFill="1" applyBorder="1" applyAlignment="1">
      <alignment horizontal="center" vertical="center"/>
    </xf>
    <xf numFmtId="0" fontId="3" fillId="15" borderId="7" xfId="0" applyFont="1" applyFill="1" applyBorder="1" applyAlignment="1">
      <alignment horizontal="center" vertical="center"/>
    </xf>
    <xf numFmtId="0" fontId="3" fillId="15" borderId="8" xfId="0" applyFont="1" applyFill="1" applyBorder="1" applyAlignment="1">
      <alignment horizontal="center" vertical="center"/>
    </xf>
    <xf numFmtId="0" fontId="24" fillId="16" borderId="1" xfId="0" applyFont="1" applyFill="1" applyBorder="1" applyAlignment="1">
      <alignment horizontal="center" vertical="center"/>
    </xf>
    <xf numFmtId="0" fontId="24" fillId="16" borderId="2" xfId="0" applyFont="1" applyFill="1" applyBorder="1" applyAlignment="1">
      <alignment horizontal="center" vertical="center"/>
    </xf>
    <xf numFmtId="0" fontId="24" fillId="16" borderId="4" xfId="0" applyFont="1" applyFill="1" applyBorder="1" applyAlignment="1">
      <alignment horizontal="center" vertical="center"/>
    </xf>
    <xf numFmtId="0" fontId="24" fillId="16" borderId="0" xfId="0" applyFont="1" applyFill="1" applyBorder="1" applyAlignment="1">
      <alignment horizontal="center" vertical="center"/>
    </xf>
    <xf numFmtId="0" fontId="24" fillId="16" borderId="6" xfId="0" applyFont="1" applyFill="1" applyBorder="1" applyAlignment="1">
      <alignment horizontal="center" vertical="center"/>
    </xf>
    <xf numFmtId="0" fontId="24" fillId="16" borderId="7" xfId="0" applyFont="1" applyFill="1" applyBorder="1" applyAlignment="1">
      <alignment horizontal="center" vertical="center"/>
    </xf>
    <xf numFmtId="0" fontId="0" fillId="0" borderId="0" xfId="0" applyFont="1" applyAlignment="1">
      <alignment horizontal="right" vertical="center"/>
    </xf>
    <xf numFmtId="0" fontId="3" fillId="7" borderId="32" xfId="0" applyFont="1" applyFill="1" applyBorder="1" applyAlignment="1">
      <alignment horizontal="center" vertical="center"/>
    </xf>
    <xf numFmtId="0" fontId="3" fillId="7" borderId="34" xfId="0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3" fillId="7" borderId="35" xfId="0" applyFont="1" applyFill="1" applyBorder="1" applyAlignment="1">
      <alignment horizontal="center" vertical="center"/>
    </xf>
    <xf numFmtId="0" fontId="3" fillId="7" borderId="36" xfId="0" applyFont="1" applyFill="1" applyBorder="1" applyAlignment="1">
      <alignment horizontal="center" vertical="center"/>
    </xf>
    <xf numFmtId="0" fontId="3" fillId="7" borderId="37" xfId="0" applyFont="1" applyFill="1" applyBorder="1" applyAlignment="1">
      <alignment horizontal="center" vertical="center"/>
    </xf>
    <xf numFmtId="0" fontId="4" fillId="14" borderId="0" xfId="0" applyFont="1" applyFill="1" applyAlignment="1">
      <alignment horizontal="center" vertical="center"/>
    </xf>
    <xf numFmtId="0" fontId="3" fillId="15" borderId="38" xfId="0" applyFont="1" applyFill="1" applyBorder="1" applyAlignment="1">
      <alignment horizontal="center" vertical="center"/>
    </xf>
    <xf numFmtId="0" fontId="0" fillId="15" borderId="39" xfId="0" applyFont="1" applyFill="1" applyBorder="1" applyAlignment="1">
      <alignment horizontal="center" vertical="center"/>
    </xf>
    <xf numFmtId="0" fontId="0" fillId="15" borderId="40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3" fillId="5" borderId="37" xfId="0" applyFont="1" applyFill="1" applyBorder="1" applyAlignment="1">
      <alignment horizontal="center" vertical="center"/>
    </xf>
    <xf numFmtId="0" fontId="24" fillId="17" borderId="10" xfId="0" applyFont="1" applyFill="1" applyBorder="1" applyAlignment="1">
      <alignment horizontal="center" vertical="center"/>
    </xf>
    <xf numFmtId="0" fontId="24" fillId="17" borderId="41" xfId="0" applyFont="1" applyFill="1" applyBorder="1" applyAlignment="1">
      <alignment horizontal="center" vertical="center"/>
    </xf>
    <xf numFmtId="0" fontId="3" fillId="18" borderId="10" xfId="0" applyFont="1" applyFill="1" applyBorder="1" applyAlignment="1">
      <alignment horizontal="center" vertical="center"/>
    </xf>
    <xf numFmtId="0" fontId="3" fillId="19" borderId="41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 indent="2"/>
    </xf>
    <xf numFmtId="0" fontId="3" fillId="0" borderId="10" xfId="0" applyFont="1" applyBorder="1" applyAlignment="1">
      <alignment horizontal="left" vertical="center" indent="2"/>
    </xf>
    <xf numFmtId="0" fontId="3" fillId="0" borderId="42" xfId="0" applyFont="1" applyBorder="1" applyAlignment="1">
      <alignment horizontal="left" vertical="center" indent="2"/>
    </xf>
    <xf numFmtId="0" fontId="3" fillId="0" borderId="41" xfId="0" applyFont="1" applyBorder="1" applyAlignment="1">
      <alignment horizontal="left" vertical="center" indent="2"/>
    </xf>
    <xf numFmtId="0" fontId="3" fillId="0" borderId="9" xfId="0" applyFont="1" applyBorder="1" applyAlignment="1">
      <alignment horizontal="left" vertical="center" indent="2"/>
    </xf>
    <xf numFmtId="0" fontId="3" fillId="7" borderId="33" xfId="0" applyFont="1" applyFill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34" xfId="0" applyFont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13" borderId="2" xfId="0" applyFont="1" applyFill="1" applyBorder="1" applyAlignment="1">
      <alignment horizontal="center" vertical="center" wrapText="1"/>
    </xf>
    <xf numFmtId="0" fontId="0" fillId="13" borderId="3" xfId="0" applyFont="1" applyFill="1" applyBorder="1" applyAlignment="1">
      <alignment horizontal="center" vertical="center" wrapText="1"/>
    </xf>
    <xf numFmtId="0" fontId="0" fillId="13" borderId="0" xfId="0" applyFont="1" applyFill="1" applyBorder="1" applyAlignment="1">
      <alignment horizontal="center" vertical="center" wrapText="1"/>
    </xf>
    <xf numFmtId="0" fontId="0" fillId="13" borderId="5" xfId="0" applyFont="1" applyFill="1" applyBorder="1" applyAlignment="1">
      <alignment horizontal="center" vertical="center" wrapText="1"/>
    </xf>
    <xf numFmtId="0" fontId="0" fillId="13" borderId="7" xfId="0" applyFont="1" applyFill="1" applyBorder="1" applyAlignment="1">
      <alignment horizontal="center" vertical="center" wrapText="1"/>
    </xf>
    <xf numFmtId="0" fontId="0" fillId="13" borderId="8" xfId="0" applyFont="1" applyFill="1" applyBorder="1" applyAlignment="1">
      <alignment horizontal="center" vertical="center" wrapText="1"/>
    </xf>
    <xf numFmtId="0" fontId="33" fillId="24" borderId="43" xfId="0" applyFont="1" applyFill="1" applyBorder="1" applyAlignment="1">
      <alignment horizontal="center" vertical="center"/>
    </xf>
    <xf numFmtId="0" fontId="33" fillId="24" borderId="44" xfId="0" applyFont="1" applyFill="1" applyBorder="1" applyAlignment="1">
      <alignment horizontal="center" vertical="center"/>
    </xf>
    <xf numFmtId="0" fontId="33" fillId="24" borderId="45" xfId="0" applyFont="1" applyFill="1" applyBorder="1" applyAlignment="1">
      <alignment horizontal="center" vertical="center"/>
    </xf>
    <xf numFmtId="0" fontId="33" fillId="24" borderId="46" xfId="0" applyFont="1" applyFill="1" applyBorder="1" applyAlignment="1">
      <alignment horizontal="center" vertical="center"/>
    </xf>
    <xf numFmtId="0" fontId="33" fillId="24" borderId="0" xfId="0" applyFont="1" applyFill="1" applyBorder="1" applyAlignment="1">
      <alignment horizontal="center" vertical="center"/>
    </xf>
    <xf numFmtId="0" fontId="33" fillId="24" borderId="47" xfId="0" applyFont="1" applyFill="1" applyBorder="1" applyAlignment="1">
      <alignment horizontal="center" vertical="center"/>
    </xf>
    <xf numFmtId="0" fontId="33" fillId="24" borderId="48" xfId="0" applyFont="1" applyFill="1" applyBorder="1" applyAlignment="1">
      <alignment horizontal="center" vertical="center"/>
    </xf>
    <xf numFmtId="0" fontId="33" fillId="24" borderId="49" xfId="0" applyFont="1" applyFill="1" applyBorder="1" applyAlignment="1">
      <alignment horizontal="center" vertical="center"/>
    </xf>
    <xf numFmtId="0" fontId="33" fillId="24" borderId="50" xfId="0" applyFont="1" applyFill="1" applyBorder="1" applyAlignment="1">
      <alignment horizontal="center" vertical="center"/>
    </xf>
  </cellXfs>
  <cellStyles count="2">
    <cellStyle name="桁区切り" xfId="1" builtinId="6"/>
    <cellStyle name="標準" xfId="0" builtinId="0"/>
  </cellStyles>
  <dxfs count="2">
    <dxf>
      <font>
        <b/>
        <i val="0"/>
        <condense val="0"/>
        <extend val="0"/>
        <color indexed="10"/>
      </font>
      <fill>
        <patternFill>
          <bgColor indexed="45"/>
        </patternFill>
      </fill>
    </dxf>
    <dxf>
      <font>
        <b/>
        <i val="0"/>
        <condense val="0"/>
        <extend val="0"/>
        <color indexed="12"/>
      </font>
      <fill>
        <patternFill>
          <bgColor indexed="42"/>
        </patternFill>
      </fill>
    </dxf>
  </dxfs>
  <tableStyles count="0" defaultTableStyle="TableStyleMedium9" defaultPivotStyle="PivotStyleLight16"/>
  <colors>
    <mruColors>
      <color rgb="FFCCCC00"/>
      <color rgb="FF00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emf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2</xdr:row>
      <xdr:rowOff>19049</xdr:rowOff>
    </xdr:from>
    <xdr:to>
      <xdr:col>5</xdr:col>
      <xdr:colOff>28575</xdr:colOff>
      <xdr:row>7</xdr:row>
      <xdr:rowOff>438149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342900" y="342899"/>
          <a:ext cx="2486025" cy="1228725"/>
        </a:xfrm>
        <a:prstGeom prst="rect">
          <a:avLst/>
        </a:prstGeom>
        <a:solidFill>
          <a:srgbClr val="CCCC00"/>
        </a:solidFill>
        <a:ln>
          <a:headEnd/>
          <a:tailEnd/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wrap="square" lIns="36576" tIns="18288" rIns="36576" bIns="0" anchor="ctr" upright="1"/>
        <a:lstStyle/>
        <a:p>
          <a:pPr algn="ctr" rtl="0">
            <a:defRPr sz="1000"/>
          </a:pPr>
          <a:r>
            <a:rPr lang="ja-JP" altLang="en-US" sz="1200" b="1" i="0" strike="noStrike">
              <a:solidFill>
                <a:srgbClr val="000000"/>
              </a:solidFill>
              <a:latin typeface="ＭＳ Ｐゴシック"/>
              <a:ea typeface="ＭＳ Ｐゴシック"/>
            </a:rPr>
            <a:t>関数</a:t>
          </a:r>
        </a:p>
        <a:p>
          <a:pPr algn="ctr" rtl="0">
            <a:defRPr sz="1000"/>
          </a:pPr>
          <a:r>
            <a:rPr lang="ja-JP" altLang="en-US" sz="1200" b="1" i="0" strike="noStrike">
              <a:solidFill>
                <a:srgbClr val="000000"/>
              </a:solidFill>
              <a:latin typeface="ＭＳ Ｐゴシック"/>
              <a:ea typeface="ＭＳ Ｐゴシック"/>
            </a:rPr>
            <a:t>｛　</a:t>
          </a:r>
          <a:r>
            <a:rPr lang="en-US" altLang="ja-JP" sz="1400" b="1" i="0" strike="noStrike">
              <a:solidFill>
                <a:srgbClr val="FF0000"/>
              </a:solidFill>
              <a:latin typeface="ＭＳ Ｐゴシック"/>
              <a:ea typeface="ＭＳ Ｐゴシック"/>
            </a:rPr>
            <a:t>IF</a:t>
          </a:r>
          <a:r>
            <a:rPr lang="ja-JP" altLang="en-US" sz="1400" b="1" i="0" strike="noStrike">
              <a:solidFill>
                <a:srgbClr val="000000"/>
              </a:solidFill>
              <a:latin typeface="ＭＳ Ｐゴシック"/>
              <a:ea typeface="ＭＳ Ｐゴシック"/>
            </a:rPr>
            <a:t>関数</a:t>
          </a:r>
          <a:r>
            <a:rPr lang="en-US" altLang="ja-JP" sz="1400" b="1" i="0" strike="noStrike">
              <a:solidFill>
                <a:srgbClr val="000000"/>
              </a:solidFill>
              <a:latin typeface="ＭＳ Ｐゴシック"/>
              <a:ea typeface="ＭＳ Ｐゴシック"/>
            </a:rPr>
            <a:t>-01</a:t>
          </a:r>
          <a:r>
            <a:rPr lang="en-US" altLang="ja-JP" sz="1200" b="1" i="0" strike="noStrike">
              <a:solidFill>
                <a:srgbClr val="000000"/>
              </a:solidFill>
              <a:latin typeface="ＭＳ Ｐゴシック"/>
              <a:ea typeface="ＭＳ Ｐゴシック"/>
            </a:rPr>
            <a:t>  </a:t>
          </a:r>
          <a:r>
            <a:rPr lang="ja-JP" altLang="en-US" sz="1200" b="1" i="0" strike="noStrike">
              <a:solidFill>
                <a:srgbClr val="000000"/>
              </a:solidFill>
              <a:latin typeface="ＭＳ Ｐゴシック"/>
              <a:ea typeface="ＭＳ Ｐゴシック"/>
            </a:rPr>
            <a:t>｝</a:t>
          </a:r>
        </a:p>
        <a:p>
          <a:pPr algn="ctr" rtl="0">
            <a:defRPr sz="1000"/>
          </a:pPr>
          <a:r>
            <a:rPr lang="ja-JP" altLang="en-US" sz="1200" b="1" i="0" strike="noStrike">
              <a:solidFill>
                <a:srgbClr val="000000"/>
              </a:solidFill>
              <a:latin typeface="ＭＳ Ｐゴシック"/>
              <a:ea typeface="ＭＳ Ｐゴシック"/>
            </a:rPr>
            <a:t>イフ</a:t>
          </a:r>
        </a:p>
        <a:p>
          <a:pPr algn="ctr" rtl="0">
            <a:defRPr sz="1000"/>
          </a:pPr>
          <a:endParaRPr lang="ja-JP" altLang="en-US" sz="1200" b="1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r>
            <a:rPr lang="ja-JP" altLang="en-US" sz="1400" b="1" i="0" strike="noStrike">
              <a:solidFill>
                <a:srgbClr val="000000"/>
              </a:solidFill>
              <a:latin typeface="ＭＳ Ｐゴシック"/>
              <a:ea typeface="ＭＳ Ｐゴシック"/>
            </a:rPr>
            <a:t>（</a:t>
          </a:r>
          <a:r>
            <a:rPr lang="ja-JP" altLang="en-US" sz="1400" b="1" i="0" strike="noStrike">
              <a:solidFill>
                <a:srgbClr val="0000FF"/>
              </a:solidFill>
              <a:latin typeface="ＭＳ Ｐゴシック"/>
              <a:ea typeface="ＭＳ Ｐゴシック"/>
            </a:rPr>
            <a:t>論理</a:t>
          </a:r>
          <a:r>
            <a:rPr lang="ja-JP" altLang="en-US" sz="1400" b="1" i="0" strike="noStrike">
              <a:solidFill>
                <a:srgbClr val="000000"/>
              </a:solidFill>
              <a:latin typeface="ＭＳ Ｐゴシック"/>
              <a:ea typeface="ＭＳ Ｐゴシック"/>
            </a:rPr>
            <a:t>）</a:t>
          </a:r>
          <a:endParaRPr lang="ja-JP" altLang="en-US" sz="1200" b="1" i="0" strike="noStrike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</xdr:col>
      <xdr:colOff>257175</xdr:colOff>
      <xdr:row>39</xdr:row>
      <xdr:rowOff>28575</xdr:rowOff>
    </xdr:from>
    <xdr:to>
      <xdr:col>13</xdr:col>
      <xdr:colOff>171450</xdr:colOff>
      <xdr:row>43</xdr:row>
      <xdr:rowOff>0</xdr:rowOff>
    </xdr:to>
    <xdr:grpSp>
      <xdr:nvGrpSpPr>
        <xdr:cNvPr id="1782" name="Group 758"/>
        <xdr:cNvGrpSpPr>
          <a:grpSpLocks/>
        </xdr:cNvGrpSpPr>
      </xdr:nvGrpSpPr>
      <xdr:grpSpPr bwMode="auto">
        <a:xfrm>
          <a:off x="1011555" y="7564755"/>
          <a:ext cx="6033135" cy="611505"/>
          <a:chOff x="102" y="679"/>
          <a:chExt cx="688" cy="65"/>
        </a:xfrm>
      </xdr:grpSpPr>
      <xdr:sp macro="" textlink="">
        <xdr:nvSpPr>
          <xdr:cNvPr id="1519" name="Text Box 495" descr="キャンバス"/>
          <xdr:cNvSpPr txBox="1">
            <a:spLocks noChangeArrowheads="1"/>
          </xdr:cNvSpPr>
        </xdr:nvSpPr>
        <xdr:spPr bwMode="auto">
          <a:xfrm>
            <a:off x="102" y="713"/>
            <a:ext cx="233" cy="31"/>
          </a:xfrm>
          <a:prstGeom prst="rect">
            <a:avLst/>
          </a:prstGeom>
          <a:blipFill dpi="0" rotWithShape="1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  <a:effectLst>
            <a:outerShdw dist="107763" dir="2700000" algn="ctr" rotWithShape="0">
              <a:srgbClr val="808080">
                <a:alpha val="50000"/>
              </a:srgbClr>
            </a:outerShdw>
          </a:effectLst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ja-JP" altLang="en-US" sz="1400" b="1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操作方法とサンプル</a:t>
            </a:r>
          </a:p>
        </xdr:txBody>
      </xdr:sp>
      <xdr:sp macro="" textlink="">
        <xdr:nvSpPr>
          <xdr:cNvPr id="1520" name="Text Box 496" descr="オーク"/>
          <xdr:cNvSpPr txBox="1">
            <a:spLocks noChangeArrowheads="1"/>
          </xdr:cNvSpPr>
        </xdr:nvSpPr>
        <xdr:spPr bwMode="auto">
          <a:xfrm>
            <a:off x="572" y="713"/>
            <a:ext cx="218" cy="31"/>
          </a:xfrm>
          <a:prstGeom prst="rect">
            <a:avLst/>
          </a:prstGeom>
          <a:blipFill dpi="0" rotWithShape="1">
            <a:blip xmlns:r="http://schemas.openxmlformats.org/officeDocument/2006/relationships" r:embed="rId2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  <a:effectLst>
            <a:outerShdw dist="107763" dir="2700000" algn="ctr" rotWithShape="0">
              <a:srgbClr val="808080">
                <a:alpha val="50000"/>
              </a:srgbClr>
            </a:outerShdw>
          </a:effectLst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ja-JP" altLang="en-US" sz="1400" b="1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練　習</a:t>
            </a:r>
          </a:p>
        </xdr:txBody>
      </xdr:sp>
      <xdr:pic>
        <xdr:nvPicPr>
          <xdr:cNvPr id="1521" name="Picture 497"/>
          <xdr:cNvPicPr>
            <a:picLocks noChangeAspect="1" noChangeArrowheads="1"/>
          </xdr:cNvPicPr>
        </xdr:nvPicPr>
        <xdr:blipFill>
          <a:blip xmlns:r="http://schemas.openxmlformats.org/officeDocument/2006/relationships" r:embed="rId3"/>
          <a:srcRect/>
          <a:stretch>
            <a:fillRect/>
          </a:stretch>
        </xdr:blipFill>
        <xdr:spPr bwMode="auto">
          <a:xfrm>
            <a:off x="734" y="683"/>
            <a:ext cx="52" cy="2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>
            <a:outerShdw dist="35921" dir="2700000" algn="ctr" rotWithShape="0">
              <a:srgbClr val="808080"/>
            </a:outerShdw>
          </a:effectLst>
        </xdr:spPr>
      </xdr:pic>
      <xdr:pic>
        <xdr:nvPicPr>
          <xdr:cNvPr id="1522" name="Picture 498"/>
          <xdr:cNvPicPr>
            <a:picLocks noChangeAspect="1" noChangeArrowheads="1"/>
          </xdr:cNvPicPr>
        </xdr:nvPicPr>
        <xdr:blipFill>
          <a:blip xmlns:r="http://schemas.openxmlformats.org/officeDocument/2006/relationships" r:embed="rId4"/>
          <a:srcRect/>
          <a:stretch>
            <a:fillRect/>
          </a:stretch>
        </xdr:blipFill>
        <xdr:spPr bwMode="auto">
          <a:xfrm>
            <a:off x="106" y="679"/>
            <a:ext cx="49" cy="26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4</xdr:col>
      <xdr:colOff>76200</xdr:colOff>
      <xdr:row>25</xdr:row>
      <xdr:rowOff>133350</xdr:rowOff>
    </xdr:from>
    <xdr:to>
      <xdr:col>4</xdr:col>
      <xdr:colOff>304800</xdr:colOff>
      <xdr:row>27</xdr:row>
      <xdr:rowOff>19050</xdr:rowOff>
    </xdr:to>
    <xdr:pic>
      <xdr:nvPicPr>
        <xdr:cNvPr id="1700" name="Picture 676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2181225" y="5476875"/>
          <a:ext cx="228600" cy="2095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266700</xdr:colOff>
      <xdr:row>7</xdr:row>
      <xdr:rowOff>581025</xdr:rowOff>
    </xdr:from>
    <xdr:to>
      <xdr:col>4</xdr:col>
      <xdr:colOff>571500</xdr:colOff>
      <xdr:row>7</xdr:row>
      <xdr:rowOff>1200150</xdr:rowOff>
    </xdr:to>
    <xdr:sp macro="" textlink="">
      <xdr:nvSpPr>
        <xdr:cNvPr id="1783" name="Text Box 759" descr="キャンバス"/>
        <xdr:cNvSpPr txBox="1">
          <a:spLocks noChangeArrowheads="1"/>
        </xdr:cNvSpPr>
      </xdr:nvSpPr>
      <xdr:spPr bwMode="auto">
        <a:xfrm>
          <a:off x="485775" y="1714500"/>
          <a:ext cx="2190750" cy="619125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論理式で設定した結果を返します。</a:t>
          </a:r>
        </a:p>
        <a:p>
          <a:pPr algn="l" rtl="0">
            <a:defRPr sz="1000"/>
          </a:pPr>
          <a:r>
            <a:rPr lang="ja-JP" altLang="en-US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非常に便利で、有効な関数です。</a:t>
          </a:r>
        </a:p>
        <a:p>
          <a:pPr algn="l" rtl="0">
            <a:defRPr sz="1000"/>
          </a:pPr>
          <a:endParaRPr lang="ja-JP" altLang="en-US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 editAs="oneCell">
    <xdr:from>
      <xdr:col>4</xdr:col>
      <xdr:colOff>495300</xdr:colOff>
      <xdr:row>59</xdr:row>
      <xdr:rowOff>142875</xdr:rowOff>
    </xdr:from>
    <xdr:to>
      <xdr:col>5</xdr:col>
      <xdr:colOff>28575</xdr:colOff>
      <xdr:row>61</xdr:row>
      <xdr:rowOff>28575</xdr:rowOff>
    </xdr:to>
    <xdr:pic>
      <xdr:nvPicPr>
        <xdr:cNvPr id="1785" name="Picture 761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2600325" y="10067925"/>
          <a:ext cx="228600" cy="209550"/>
        </a:xfrm>
        <a:prstGeom prst="rect">
          <a:avLst/>
        </a:prstGeom>
        <a:noFill/>
      </xdr:spPr>
    </xdr:pic>
    <xdr:clientData/>
  </xdr:twoCellAnchor>
  <xdr:twoCellAnchor>
    <xdr:from>
      <xdr:col>0</xdr:col>
      <xdr:colOff>161925</xdr:colOff>
      <xdr:row>96</xdr:row>
      <xdr:rowOff>28575</xdr:rowOff>
    </xdr:from>
    <xdr:to>
      <xdr:col>2</xdr:col>
      <xdr:colOff>19050</xdr:colOff>
      <xdr:row>97</xdr:row>
      <xdr:rowOff>133350</xdr:rowOff>
    </xdr:to>
    <xdr:pic>
      <xdr:nvPicPr>
        <xdr:cNvPr id="1839" name="Picture 815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61925" y="16002000"/>
          <a:ext cx="571500" cy="266700"/>
        </a:xfrm>
        <a:prstGeom prst="rect">
          <a:avLst/>
        </a:prstGeom>
        <a:noFill/>
      </xdr:spPr>
    </xdr:pic>
    <xdr:clientData/>
  </xdr:twoCellAnchor>
  <xdr:twoCellAnchor>
    <xdr:from>
      <xdr:col>8</xdr:col>
      <xdr:colOff>0</xdr:colOff>
      <xdr:row>59</xdr:row>
      <xdr:rowOff>123825</xdr:rowOff>
    </xdr:from>
    <xdr:to>
      <xdr:col>9</xdr:col>
      <xdr:colOff>381000</xdr:colOff>
      <xdr:row>61</xdr:row>
      <xdr:rowOff>28575</xdr:rowOff>
    </xdr:to>
    <xdr:pic>
      <xdr:nvPicPr>
        <xdr:cNvPr id="1840" name="Picture 816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457700" y="10048875"/>
          <a:ext cx="495300" cy="2286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pic>
    <xdr:clientData/>
  </xdr:twoCellAnchor>
  <xdr:twoCellAnchor>
    <xdr:from>
      <xdr:col>9</xdr:col>
      <xdr:colOff>66675</xdr:colOff>
      <xdr:row>97</xdr:row>
      <xdr:rowOff>47625</xdr:rowOff>
    </xdr:from>
    <xdr:to>
      <xdr:col>9</xdr:col>
      <xdr:colOff>561975</xdr:colOff>
      <xdr:row>98</xdr:row>
      <xdr:rowOff>95250</xdr:rowOff>
    </xdr:to>
    <xdr:pic>
      <xdr:nvPicPr>
        <xdr:cNvPr id="1896" name="Picture 87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638675" y="16182975"/>
          <a:ext cx="495300" cy="209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pic>
    <xdr:clientData/>
  </xdr:twoCellAnchor>
  <xdr:twoCellAnchor>
    <xdr:from>
      <xdr:col>9</xdr:col>
      <xdr:colOff>38100</xdr:colOff>
      <xdr:row>51</xdr:row>
      <xdr:rowOff>47625</xdr:rowOff>
    </xdr:from>
    <xdr:to>
      <xdr:col>9</xdr:col>
      <xdr:colOff>609600</xdr:colOff>
      <xdr:row>52</xdr:row>
      <xdr:rowOff>152400</xdr:rowOff>
    </xdr:to>
    <xdr:pic>
      <xdr:nvPicPr>
        <xdr:cNvPr id="1918" name="Picture 894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4610100" y="8534400"/>
          <a:ext cx="571500" cy="2667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85725</xdr:colOff>
      <xdr:row>64</xdr:row>
      <xdr:rowOff>57150</xdr:rowOff>
    </xdr:from>
    <xdr:to>
      <xdr:col>9</xdr:col>
      <xdr:colOff>228600</xdr:colOff>
      <xdr:row>69</xdr:row>
      <xdr:rowOff>114300</xdr:rowOff>
    </xdr:to>
    <xdr:pic>
      <xdr:nvPicPr>
        <xdr:cNvPr id="1923" name="Picture 899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304800" y="10791825"/>
          <a:ext cx="4800600" cy="86677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561975</xdr:colOff>
      <xdr:row>91</xdr:row>
      <xdr:rowOff>190500</xdr:rowOff>
    </xdr:from>
    <xdr:to>
      <xdr:col>7</xdr:col>
      <xdr:colOff>133350</xdr:colOff>
      <xdr:row>96</xdr:row>
      <xdr:rowOff>133350</xdr:rowOff>
    </xdr:to>
    <xdr:pic>
      <xdr:nvPicPr>
        <xdr:cNvPr id="1926" name="Picture 902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2667000" y="16363950"/>
          <a:ext cx="1657350" cy="809625"/>
        </a:xfrm>
        <a:prstGeom prst="rect">
          <a:avLst/>
        </a:prstGeom>
        <a:noFill/>
      </xdr:spPr>
    </xdr:pic>
    <xdr:clientData/>
  </xdr:twoCellAnchor>
  <xdr:twoCellAnchor>
    <xdr:from>
      <xdr:col>0</xdr:col>
      <xdr:colOff>95250</xdr:colOff>
      <xdr:row>127</xdr:row>
      <xdr:rowOff>142875</xdr:rowOff>
    </xdr:from>
    <xdr:to>
      <xdr:col>1</xdr:col>
      <xdr:colOff>447675</xdr:colOff>
      <xdr:row>129</xdr:row>
      <xdr:rowOff>0</xdr:rowOff>
    </xdr:to>
    <xdr:pic>
      <xdr:nvPicPr>
        <xdr:cNvPr id="1931" name="Picture 907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95250" y="20974050"/>
          <a:ext cx="571500" cy="266700"/>
        </a:xfrm>
        <a:prstGeom prst="rect">
          <a:avLst/>
        </a:prstGeom>
        <a:noFill/>
      </xdr:spPr>
    </xdr:pic>
    <xdr:clientData/>
  </xdr:twoCellAnchor>
  <xdr:twoCellAnchor>
    <xdr:from>
      <xdr:col>8</xdr:col>
      <xdr:colOff>95250</xdr:colOff>
      <xdr:row>128</xdr:row>
      <xdr:rowOff>19050</xdr:rowOff>
    </xdr:from>
    <xdr:to>
      <xdr:col>9</xdr:col>
      <xdr:colOff>476250</xdr:colOff>
      <xdr:row>129</xdr:row>
      <xdr:rowOff>0</xdr:rowOff>
    </xdr:to>
    <xdr:pic>
      <xdr:nvPicPr>
        <xdr:cNvPr id="1932" name="Picture 908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552950" y="21012150"/>
          <a:ext cx="495300" cy="209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pic>
    <xdr:clientData/>
  </xdr:twoCellAnchor>
  <xdr:twoCellAnchor editAs="oneCell">
    <xdr:from>
      <xdr:col>5</xdr:col>
      <xdr:colOff>152400</xdr:colOff>
      <xdr:row>131</xdr:row>
      <xdr:rowOff>19050</xdr:rowOff>
    </xdr:from>
    <xdr:to>
      <xdr:col>9</xdr:col>
      <xdr:colOff>142875</xdr:colOff>
      <xdr:row>141</xdr:row>
      <xdr:rowOff>38100</xdr:rowOff>
    </xdr:to>
    <xdr:pic>
      <xdr:nvPicPr>
        <xdr:cNvPr id="1936" name="Picture 912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2952750" y="23402925"/>
          <a:ext cx="1952625" cy="1638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95250</xdr:colOff>
      <xdr:row>189</xdr:row>
      <xdr:rowOff>133350</xdr:rowOff>
    </xdr:from>
    <xdr:to>
      <xdr:col>1</xdr:col>
      <xdr:colOff>466725</xdr:colOff>
      <xdr:row>191</xdr:row>
      <xdr:rowOff>28575</xdr:rowOff>
    </xdr:to>
    <xdr:pic>
      <xdr:nvPicPr>
        <xdr:cNvPr id="1940" name="Picture 916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95250" y="31518225"/>
          <a:ext cx="590550" cy="285750"/>
        </a:xfrm>
        <a:prstGeom prst="rect">
          <a:avLst/>
        </a:prstGeom>
        <a:noFill/>
      </xdr:spPr>
    </xdr:pic>
    <xdr:clientData/>
  </xdr:twoCellAnchor>
  <xdr:twoCellAnchor>
    <xdr:from>
      <xdr:col>9</xdr:col>
      <xdr:colOff>66675</xdr:colOff>
      <xdr:row>190</xdr:row>
      <xdr:rowOff>28575</xdr:rowOff>
    </xdr:from>
    <xdr:to>
      <xdr:col>9</xdr:col>
      <xdr:colOff>561975</xdr:colOff>
      <xdr:row>191</xdr:row>
      <xdr:rowOff>9525</xdr:rowOff>
    </xdr:to>
    <xdr:pic>
      <xdr:nvPicPr>
        <xdr:cNvPr id="1941" name="Picture 917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638675" y="31575375"/>
          <a:ext cx="495300" cy="209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pic>
    <xdr:clientData/>
  </xdr:twoCellAnchor>
  <xdr:twoCellAnchor editAs="oneCell">
    <xdr:from>
      <xdr:col>6</xdr:col>
      <xdr:colOff>523875</xdr:colOff>
      <xdr:row>201</xdr:row>
      <xdr:rowOff>0</xdr:rowOff>
    </xdr:from>
    <xdr:to>
      <xdr:col>17</xdr:col>
      <xdr:colOff>523875</xdr:colOff>
      <xdr:row>206</xdr:row>
      <xdr:rowOff>66675</xdr:rowOff>
    </xdr:to>
    <xdr:pic>
      <xdr:nvPicPr>
        <xdr:cNvPr id="1946" name="Picture 922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4019550" y="34623375"/>
          <a:ext cx="6705600" cy="8763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276225</xdr:colOff>
      <xdr:row>2</xdr:row>
      <xdr:rowOff>47625</xdr:rowOff>
    </xdr:from>
    <xdr:to>
      <xdr:col>14</xdr:col>
      <xdr:colOff>495300</xdr:colOff>
      <xdr:row>7</xdr:row>
      <xdr:rowOff>1143000</xdr:rowOff>
    </xdr:to>
    <xdr:pic>
      <xdr:nvPicPr>
        <xdr:cNvPr id="27" name="図 26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371475"/>
          <a:ext cx="56388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114300</xdr:colOff>
      <xdr:row>9</xdr:row>
      <xdr:rowOff>114300</xdr:rowOff>
    </xdr:from>
    <xdr:to>
      <xdr:col>15</xdr:col>
      <xdr:colOff>0</xdr:colOff>
      <xdr:row>11</xdr:row>
      <xdr:rowOff>152400</xdr:rowOff>
    </xdr:to>
    <xdr:pic>
      <xdr:nvPicPr>
        <xdr:cNvPr id="28" name="図 27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43725" y="2790825"/>
          <a:ext cx="1971675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390525</xdr:colOff>
      <xdr:row>18</xdr:row>
      <xdr:rowOff>38100</xdr:rowOff>
    </xdr:from>
    <xdr:to>
      <xdr:col>15</xdr:col>
      <xdr:colOff>409575</xdr:colOff>
      <xdr:row>38</xdr:row>
      <xdr:rowOff>38100</xdr:rowOff>
    </xdr:to>
    <xdr:pic>
      <xdr:nvPicPr>
        <xdr:cNvPr id="30" name="図 29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3025" y="4171950"/>
          <a:ext cx="4171950" cy="3314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66675</xdr:colOff>
      <xdr:row>18</xdr:row>
      <xdr:rowOff>38100</xdr:rowOff>
    </xdr:from>
    <xdr:to>
      <xdr:col>9</xdr:col>
      <xdr:colOff>361950</xdr:colOff>
      <xdr:row>22</xdr:row>
      <xdr:rowOff>0</xdr:rowOff>
    </xdr:to>
    <xdr:pic>
      <xdr:nvPicPr>
        <xdr:cNvPr id="29" name="図 28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1700" y="4171950"/>
          <a:ext cx="295275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209550</xdr:colOff>
      <xdr:row>122</xdr:row>
      <xdr:rowOff>76200</xdr:rowOff>
    </xdr:from>
    <xdr:to>
      <xdr:col>12</xdr:col>
      <xdr:colOff>209550</xdr:colOff>
      <xdr:row>124</xdr:row>
      <xdr:rowOff>66675</xdr:rowOff>
    </xdr:to>
    <xdr:sp macro="" textlink="">
      <xdr:nvSpPr>
        <xdr:cNvPr id="2" name="テキスト ボックス 1"/>
        <xdr:cNvSpPr txBox="1"/>
      </xdr:nvSpPr>
      <xdr:spPr>
        <a:xfrm>
          <a:off x="2314575" y="20840700"/>
          <a:ext cx="4724400" cy="314325"/>
        </a:xfrm>
        <a:prstGeom prst="rect">
          <a:avLst/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1100"/>
            <a:t>「順位」の「位」＝セルの書式設定｛ユーザー定義｝に慣れましょう。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O200"/>
  <sheetViews>
    <sheetView tabSelected="1" workbookViewId="0">
      <selection sqref="A1:G1"/>
    </sheetView>
  </sheetViews>
  <sheetFormatPr defaultColWidth="9" defaultRowHeight="12.75" customHeight="1" x14ac:dyDescent="0.2"/>
  <cols>
    <col min="1" max="1" width="2.88671875" style="1" customWidth="1"/>
    <col min="2" max="2" width="8.109375" style="36" customWidth="1"/>
    <col min="3" max="7" width="9.109375" style="36" customWidth="1"/>
    <col min="8" max="8" width="3.44140625" style="36" customWidth="1"/>
    <col min="9" max="9" width="4" style="36" customWidth="1"/>
    <col min="10" max="10" width="8.6640625" style="36" customWidth="1"/>
    <col min="11" max="11" width="9.33203125" style="36" customWidth="1"/>
    <col min="12" max="15" width="9.109375" style="36" customWidth="1"/>
    <col min="16" max="16" width="7.88671875" style="36" customWidth="1"/>
    <col min="17" max="16384" width="9" style="36"/>
  </cols>
  <sheetData>
    <row r="1" spans="1:15" ht="12.75" customHeight="1" x14ac:dyDescent="0.2">
      <c r="A1" s="138" t="s">
        <v>119</v>
      </c>
      <c r="B1" s="138"/>
      <c r="C1" s="138"/>
      <c r="D1" s="138"/>
      <c r="E1" s="138"/>
      <c r="F1" s="138"/>
      <c r="G1" s="138"/>
    </row>
    <row r="8" spans="1:15" ht="105" customHeight="1" x14ac:dyDescent="0.2"/>
    <row r="9" spans="1:15" ht="16.5" customHeight="1" thickBot="1" x14ac:dyDescent="0.25">
      <c r="C9" s="139" t="s">
        <v>102</v>
      </c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1"/>
      <c r="O9" s="37"/>
    </row>
    <row r="10" spans="1:15" ht="12.75" customHeight="1" thickTop="1" x14ac:dyDescent="0.2">
      <c r="A10" s="36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</row>
    <row r="11" spans="1:15" ht="12.75" customHeight="1" x14ac:dyDescent="0.2">
      <c r="A11" s="36"/>
      <c r="F11" s="39" t="s">
        <v>11</v>
      </c>
      <c r="G11" s="40"/>
      <c r="H11" s="40"/>
      <c r="I11" s="40"/>
      <c r="J11" s="40"/>
      <c r="K11" s="38"/>
      <c r="L11" s="38"/>
      <c r="M11" s="38"/>
      <c r="N11" s="38"/>
      <c r="O11" s="38"/>
    </row>
    <row r="12" spans="1:15" ht="12.75" customHeight="1" x14ac:dyDescent="0.2">
      <c r="A12" s="36"/>
      <c r="E12" s="41"/>
      <c r="F12" s="42"/>
      <c r="G12" s="43"/>
      <c r="H12" s="44"/>
    </row>
    <row r="14" spans="1:15" ht="12.75" customHeight="1" x14ac:dyDescent="0.2">
      <c r="D14" s="143" t="s">
        <v>1</v>
      </c>
      <c r="E14" s="2" t="s">
        <v>3</v>
      </c>
      <c r="F14" s="3"/>
      <c r="G14" s="3"/>
      <c r="H14" s="3"/>
      <c r="I14" s="3"/>
      <c r="J14" s="3"/>
      <c r="K14" s="3"/>
      <c r="L14" s="3"/>
      <c r="M14" s="3"/>
      <c r="N14" s="4"/>
    </row>
    <row r="15" spans="1:15" ht="12.75" customHeight="1" x14ac:dyDescent="0.2">
      <c r="D15" s="144"/>
      <c r="E15" s="5" t="s">
        <v>5</v>
      </c>
      <c r="F15" s="6"/>
      <c r="G15" s="6"/>
      <c r="H15" s="6"/>
      <c r="I15" s="6"/>
      <c r="J15" s="6"/>
      <c r="K15" s="6"/>
      <c r="L15" s="6"/>
      <c r="M15" s="6"/>
      <c r="N15" s="7"/>
    </row>
    <row r="16" spans="1:15" ht="12.75" customHeight="1" x14ac:dyDescent="0.2">
      <c r="D16" s="144"/>
      <c r="E16" s="5" t="s">
        <v>2</v>
      </c>
      <c r="F16" s="6"/>
      <c r="G16" s="6"/>
      <c r="H16" s="6"/>
      <c r="I16" s="6"/>
      <c r="J16" s="6"/>
      <c r="K16" s="6"/>
      <c r="L16" s="6"/>
      <c r="M16" s="6"/>
      <c r="N16" s="7"/>
    </row>
    <row r="17" spans="2:14" ht="12.75" customHeight="1" x14ac:dyDescent="0.2">
      <c r="D17" s="144"/>
      <c r="E17" s="5" t="s">
        <v>6</v>
      </c>
      <c r="F17" s="6"/>
      <c r="G17" s="6"/>
      <c r="H17" s="6"/>
      <c r="I17" s="6"/>
      <c r="J17" s="6"/>
      <c r="K17" s="6"/>
      <c r="L17" s="6"/>
      <c r="M17" s="6"/>
      <c r="N17" s="7"/>
    </row>
    <row r="18" spans="2:14" ht="12.75" customHeight="1" thickBot="1" x14ac:dyDescent="0.25">
      <c r="D18" s="145"/>
      <c r="E18" s="8" t="s">
        <v>4</v>
      </c>
      <c r="F18" s="9"/>
      <c r="G18" s="9"/>
      <c r="H18" s="9"/>
      <c r="I18" s="9"/>
      <c r="J18" s="9"/>
      <c r="K18" s="9"/>
      <c r="L18" s="9"/>
      <c r="M18" s="9"/>
      <c r="N18" s="10"/>
    </row>
    <row r="19" spans="2:14" ht="12.75" customHeight="1" thickTop="1" x14ac:dyDescent="0.2"/>
    <row r="21" spans="2:14" ht="18.75" customHeight="1" thickBot="1" x14ac:dyDescent="0.25">
      <c r="B21" s="146" t="s">
        <v>12</v>
      </c>
      <c r="C21" s="147"/>
      <c r="D21" s="148"/>
      <c r="E21" s="45"/>
      <c r="F21" s="45"/>
      <c r="G21" s="45"/>
      <c r="H21" s="45"/>
    </row>
    <row r="22" spans="2:14" ht="12.75" customHeight="1" thickTop="1" x14ac:dyDescent="0.2">
      <c r="D22" s="45"/>
      <c r="E22" s="45"/>
      <c r="F22" s="45"/>
      <c r="G22" s="45"/>
      <c r="H22" s="45"/>
    </row>
    <row r="23" spans="2:14" ht="12.75" customHeight="1" x14ac:dyDescent="0.2">
      <c r="B23" s="36" t="s">
        <v>13</v>
      </c>
      <c r="D23" s="45"/>
      <c r="E23" s="45"/>
      <c r="F23" s="45"/>
      <c r="G23" s="45"/>
      <c r="H23" s="45"/>
    </row>
    <row r="24" spans="2:14" ht="12.75" customHeight="1" x14ac:dyDescent="0.2">
      <c r="B24" s="36" t="s">
        <v>99</v>
      </c>
      <c r="D24" s="45"/>
      <c r="E24" s="45"/>
      <c r="F24" s="45"/>
      <c r="G24" s="45"/>
      <c r="H24" s="45"/>
    </row>
    <row r="25" spans="2:14" ht="12.75" customHeight="1" x14ac:dyDescent="0.2">
      <c r="B25" s="46" t="s">
        <v>7</v>
      </c>
      <c r="D25" s="45"/>
      <c r="E25" s="45"/>
      <c r="F25" s="45"/>
      <c r="G25" s="45"/>
      <c r="H25" s="45"/>
    </row>
    <row r="26" spans="2:14" ht="12.75" customHeight="1" x14ac:dyDescent="0.2">
      <c r="B26" s="46" t="s">
        <v>8</v>
      </c>
      <c r="D26" s="45"/>
      <c r="E26" s="45"/>
      <c r="F26" s="45"/>
      <c r="G26" s="45"/>
      <c r="H26" s="45"/>
    </row>
    <row r="27" spans="2:14" ht="12.75" customHeight="1" x14ac:dyDescent="0.2">
      <c r="B27" s="46" t="s">
        <v>121</v>
      </c>
      <c r="D27" s="45"/>
      <c r="E27" s="45"/>
      <c r="F27" s="45"/>
      <c r="G27" s="45"/>
      <c r="H27" s="45"/>
    </row>
    <row r="28" spans="2:14" ht="12.75" customHeight="1" x14ac:dyDescent="0.2">
      <c r="B28" s="47" t="s">
        <v>9</v>
      </c>
    </row>
    <row r="29" spans="2:14" ht="12.75" customHeight="1" x14ac:dyDescent="0.2">
      <c r="B29" s="47" t="s">
        <v>103</v>
      </c>
    </row>
    <row r="30" spans="2:14" ht="12.75" customHeight="1" x14ac:dyDescent="0.2">
      <c r="B30" s="47" t="s">
        <v>120</v>
      </c>
    </row>
    <row r="31" spans="2:14" ht="12.75" customHeight="1" x14ac:dyDescent="0.2">
      <c r="B31" s="47" t="s">
        <v>14</v>
      </c>
    </row>
    <row r="32" spans="2:14" ht="12.75" customHeight="1" x14ac:dyDescent="0.2">
      <c r="B32" s="47" t="s">
        <v>15</v>
      </c>
    </row>
    <row r="33" spans="1:14" ht="12.75" customHeight="1" x14ac:dyDescent="0.2">
      <c r="B33" s="47" t="s">
        <v>10</v>
      </c>
    </row>
    <row r="34" spans="1:14" ht="12.75" customHeight="1" x14ac:dyDescent="0.2">
      <c r="B34" s="47"/>
    </row>
    <row r="36" spans="1:14" ht="12.75" customHeight="1" x14ac:dyDescent="0.2">
      <c r="A36" s="36"/>
      <c r="C36" s="123" t="s">
        <v>104</v>
      </c>
      <c r="D36" s="124"/>
      <c r="E36" s="124"/>
      <c r="F36" s="124"/>
      <c r="G36" s="125"/>
    </row>
    <row r="37" spans="1:14" ht="12.75" customHeight="1" thickBot="1" x14ac:dyDescent="0.25">
      <c r="A37" s="36"/>
      <c r="C37" s="126"/>
      <c r="D37" s="127"/>
      <c r="E37" s="127"/>
      <c r="F37" s="127"/>
      <c r="G37" s="128"/>
    </row>
    <row r="38" spans="1:14" ht="12.75" customHeight="1" thickTop="1" x14ac:dyDescent="0.2"/>
    <row r="46" spans="1:14" ht="12.75" customHeight="1" x14ac:dyDescent="0.2">
      <c r="K46" s="142" t="s">
        <v>0</v>
      </c>
      <c r="L46" s="142"/>
      <c r="M46" s="142"/>
      <c r="N46" s="142"/>
    </row>
    <row r="49" spans="2:13" ht="12.75" customHeight="1" x14ac:dyDescent="0.2">
      <c r="B49" s="11" t="s">
        <v>51</v>
      </c>
      <c r="C49" s="48"/>
      <c r="D49" s="48"/>
      <c r="E49" s="48"/>
      <c r="J49" s="11" t="s">
        <v>51</v>
      </c>
      <c r="K49" s="48"/>
      <c r="L49" s="48"/>
      <c r="M49" s="48"/>
    </row>
    <row r="52" spans="2:13" ht="12.75" customHeight="1" thickBot="1" x14ac:dyDescent="0.25">
      <c r="B52" s="49" t="s">
        <v>27</v>
      </c>
    </row>
    <row r="53" spans="2:13" ht="15" customHeight="1" thickTop="1" thickBot="1" x14ac:dyDescent="0.25">
      <c r="C53" s="36" t="s">
        <v>30</v>
      </c>
      <c r="G53" s="12"/>
      <c r="J53" s="50"/>
      <c r="K53" s="50"/>
    </row>
    <row r="54" spans="2:13" ht="15" customHeight="1" x14ac:dyDescent="0.2">
      <c r="G54" s="12"/>
      <c r="J54" s="50"/>
      <c r="K54" s="103" t="s">
        <v>18</v>
      </c>
      <c r="L54" s="104" t="s">
        <v>34</v>
      </c>
      <c r="M54" s="105" t="s">
        <v>35</v>
      </c>
    </row>
    <row r="55" spans="2:13" ht="15" customHeight="1" x14ac:dyDescent="0.2">
      <c r="C55" s="135" t="s">
        <v>36</v>
      </c>
      <c r="D55" s="135"/>
      <c r="E55" s="36" t="s">
        <v>38</v>
      </c>
      <c r="G55" s="13"/>
      <c r="J55" s="50"/>
      <c r="K55" s="51" t="s">
        <v>19</v>
      </c>
      <c r="L55" s="52">
        <v>128</v>
      </c>
      <c r="M55" s="18" t="str">
        <f>IF(L55&gt;=150,"合格","不合格")</f>
        <v>不合格</v>
      </c>
    </row>
    <row r="56" spans="2:13" ht="15" customHeight="1" x14ac:dyDescent="0.2">
      <c r="E56" t="s">
        <v>114</v>
      </c>
      <c r="F56" s="53"/>
      <c r="G56" s="12"/>
      <c r="J56" s="50"/>
      <c r="K56" s="54" t="s">
        <v>20</v>
      </c>
      <c r="L56" s="55">
        <v>178</v>
      </c>
      <c r="M56" s="19" t="str">
        <f t="shared" ref="M56:M62" si="0">IF(L56&gt;=150,"合格","不合格")</f>
        <v>合格</v>
      </c>
    </row>
    <row r="57" spans="2:13" ht="15" customHeight="1" x14ac:dyDescent="0.2">
      <c r="E57" s="36" t="s">
        <v>37</v>
      </c>
      <c r="G57" s="12"/>
      <c r="J57" s="50"/>
      <c r="K57" s="54" t="s">
        <v>21</v>
      </c>
      <c r="L57" s="55">
        <v>150</v>
      </c>
      <c r="M57" s="19" t="str">
        <f t="shared" si="0"/>
        <v>合格</v>
      </c>
    </row>
    <row r="58" spans="2:13" ht="12.75" customHeight="1" x14ac:dyDescent="0.2">
      <c r="G58" s="45"/>
      <c r="J58" s="50"/>
      <c r="K58" s="54" t="s">
        <v>22</v>
      </c>
      <c r="L58" s="55">
        <v>149</v>
      </c>
      <c r="M58" s="19" t="str">
        <f t="shared" si="0"/>
        <v>不合格</v>
      </c>
    </row>
    <row r="59" spans="2:13" ht="12.75" customHeight="1" thickBot="1" x14ac:dyDescent="0.25">
      <c r="B59" s="56" t="s">
        <v>28</v>
      </c>
      <c r="G59" s="45"/>
      <c r="J59" s="50"/>
      <c r="K59" s="54" t="s">
        <v>23</v>
      </c>
      <c r="L59" s="55">
        <v>165</v>
      </c>
      <c r="M59" s="19" t="str">
        <f t="shared" si="0"/>
        <v>合格</v>
      </c>
    </row>
    <row r="60" spans="2:13" ht="12.75" customHeight="1" thickTop="1" x14ac:dyDescent="0.2">
      <c r="C60" s="36" t="s">
        <v>16</v>
      </c>
      <c r="J60" s="50"/>
      <c r="K60" s="54" t="s">
        <v>24</v>
      </c>
      <c r="L60" s="55">
        <v>152</v>
      </c>
      <c r="M60" s="19" t="str">
        <f t="shared" si="0"/>
        <v>合格</v>
      </c>
    </row>
    <row r="61" spans="2:13" ht="12.75" customHeight="1" x14ac:dyDescent="0.2">
      <c r="B61" s="57"/>
      <c r="C61" s="36" t="s">
        <v>17</v>
      </c>
      <c r="J61" s="50"/>
      <c r="K61" s="54" t="s">
        <v>25</v>
      </c>
      <c r="L61" s="55">
        <v>138</v>
      </c>
      <c r="M61" s="19" t="str">
        <f t="shared" si="0"/>
        <v>不合格</v>
      </c>
    </row>
    <row r="62" spans="2:13" ht="12.75" customHeight="1" thickBot="1" x14ac:dyDescent="0.25">
      <c r="B62" s="57"/>
      <c r="C62" s="36" t="s">
        <v>105</v>
      </c>
      <c r="J62" s="50"/>
      <c r="K62" s="58" t="s">
        <v>26</v>
      </c>
      <c r="L62" s="59">
        <v>181</v>
      </c>
      <c r="M62" s="20" t="str">
        <f t="shared" si="0"/>
        <v>合格</v>
      </c>
    </row>
    <row r="63" spans="2:13" ht="12.75" customHeight="1" x14ac:dyDescent="0.2">
      <c r="B63" s="57"/>
      <c r="C63" s="36" t="s">
        <v>106</v>
      </c>
      <c r="J63" s="50"/>
      <c r="K63" s="60" t="s">
        <v>53</v>
      </c>
    </row>
    <row r="64" spans="2:13" ht="12.75" customHeight="1" x14ac:dyDescent="0.2">
      <c r="B64" s="57"/>
      <c r="C64" s="36" t="s">
        <v>98</v>
      </c>
      <c r="J64" s="50"/>
      <c r="K64" s="60"/>
    </row>
    <row r="65" spans="2:13" ht="12.75" customHeight="1" x14ac:dyDescent="0.2">
      <c r="B65" s="57"/>
      <c r="J65" s="50"/>
    </row>
    <row r="66" spans="2:13" ht="12.75" customHeight="1" x14ac:dyDescent="0.2">
      <c r="J66" s="61"/>
      <c r="K66" s="142" t="s">
        <v>50</v>
      </c>
      <c r="L66" s="142"/>
      <c r="M66" s="142"/>
    </row>
    <row r="67" spans="2:13" ht="12.75" customHeight="1" thickBot="1" x14ac:dyDescent="0.25">
      <c r="J67" s="61"/>
    </row>
    <row r="68" spans="2:13" ht="12.75" customHeight="1" x14ac:dyDescent="0.2">
      <c r="J68" s="61"/>
      <c r="K68" s="103" t="s">
        <v>18</v>
      </c>
      <c r="L68" s="104" t="s">
        <v>34</v>
      </c>
      <c r="M68" s="105" t="s">
        <v>35</v>
      </c>
    </row>
    <row r="69" spans="2:13" ht="12.75" customHeight="1" x14ac:dyDescent="0.2">
      <c r="B69" s="57"/>
      <c r="J69" s="61"/>
      <c r="K69" s="51" t="s">
        <v>19</v>
      </c>
      <c r="L69" s="52">
        <v>128</v>
      </c>
      <c r="M69" s="15"/>
    </row>
    <row r="70" spans="2:13" ht="12.75" customHeight="1" x14ac:dyDescent="0.2">
      <c r="B70" s="57"/>
      <c r="J70" s="61"/>
      <c r="K70" s="54" t="s">
        <v>20</v>
      </c>
      <c r="L70" s="55">
        <v>178</v>
      </c>
      <c r="M70" s="16"/>
    </row>
    <row r="71" spans="2:13" ht="12.75" customHeight="1" x14ac:dyDescent="0.2">
      <c r="B71" s="57"/>
      <c r="C71" s="36" t="s">
        <v>123</v>
      </c>
      <c r="J71" s="61"/>
      <c r="K71" s="54" t="s">
        <v>21</v>
      </c>
      <c r="L71" s="55">
        <v>150</v>
      </c>
      <c r="M71" s="16"/>
    </row>
    <row r="72" spans="2:13" ht="12.75" customHeight="1" x14ac:dyDescent="0.2">
      <c r="C72" s="36" t="s">
        <v>52</v>
      </c>
      <c r="J72" s="61"/>
      <c r="K72" s="54" t="s">
        <v>22</v>
      </c>
      <c r="L72" s="55">
        <v>149</v>
      </c>
      <c r="M72" s="16"/>
    </row>
    <row r="73" spans="2:13" ht="12.75" customHeight="1" x14ac:dyDescent="0.2">
      <c r="C73" t="s">
        <v>115</v>
      </c>
      <c r="F73" s="14"/>
      <c r="G73" s="14"/>
      <c r="H73" s="14"/>
      <c r="I73" s="14"/>
      <c r="J73" s="14"/>
      <c r="K73" s="54" t="s">
        <v>23</v>
      </c>
      <c r="L73" s="55">
        <v>165</v>
      </c>
      <c r="M73" s="16"/>
    </row>
    <row r="74" spans="2:13" ht="12.75" customHeight="1" x14ac:dyDescent="0.2">
      <c r="F74" s="14"/>
      <c r="G74" s="14"/>
      <c r="H74" s="14"/>
      <c r="I74" s="14"/>
      <c r="J74" s="14"/>
      <c r="K74" s="54" t="s">
        <v>24</v>
      </c>
      <c r="L74" s="55">
        <v>152</v>
      </c>
      <c r="M74" s="16"/>
    </row>
    <row r="75" spans="2:13" ht="12.75" customHeight="1" x14ac:dyDescent="0.2">
      <c r="C75" s="21" t="s">
        <v>39</v>
      </c>
      <c r="K75" s="54" t="s">
        <v>25</v>
      </c>
      <c r="L75" s="55">
        <v>138</v>
      </c>
      <c r="M75" s="16"/>
    </row>
    <row r="76" spans="2:13" ht="12.75" customHeight="1" thickBot="1" x14ac:dyDescent="0.25">
      <c r="C76" s="22" t="s">
        <v>49</v>
      </c>
      <c r="D76" s="136" t="s">
        <v>47</v>
      </c>
      <c r="E76" s="137"/>
      <c r="F76" s="136" t="s">
        <v>48</v>
      </c>
      <c r="G76" s="158"/>
      <c r="H76" s="158"/>
      <c r="I76" s="137"/>
      <c r="K76" s="58" t="s">
        <v>26</v>
      </c>
      <c r="L76" s="59">
        <v>181</v>
      </c>
      <c r="M76" s="17"/>
    </row>
    <row r="77" spans="2:13" ht="12.75" customHeight="1" x14ac:dyDescent="0.2">
      <c r="C77" s="62" t="s">
        <v>40</v>
      </c>
      <c r="D77" s="63" t="s">
        <v>41</v>
      </c>
      <c r="E77" s="63" t="s">
        <v>42</v>
      </c>
      <c r="F77" s="159" t="s">
        <v>45</v>
      </c>
      <c r="G77" s="160"/>
      <c r="H77" s="160"/>
      <c r="I77" s="161"/>
    </row>
    <row r="78" spans="2:13" ht="12.75" customHeight="1" x14ac:dyDescent="0.2">
      <c r="C78" s="106" t="s">
        <v>116</v>
      </c>
      <c r="D78" s="63" t="s">
        <v>43</v>
      </c>
      <c r="E78" s="63" t="s">
        <v>44</v>
      </c>
      <c r="F78" s="159" t="s">
        <v>46</v>
      </c>
      <c r="G78" s="160"/>
      <c r="H78" s="160"/>
      <c r="I78" s="161"/>
      <c r="K78" s="45"/>
    </row>
    <row r="79" spans="2:13" ht="12.75" customHeight="1" x14ac:dyDescent="0.2">
      <c r="J79" s="61"/>
      <c r="K79" s="45"/>
    </row>
    <row r="80" spans="2:13" ht="12.75" customHeight="1" x14ac:dyDescent="0.2">
      <c r="C80" s="36" t="s">
        <v>54</v>
      </c>
      <c r="J80" s="61"/>
    </row>
    <row r="81" spans="2:15" ht="12.75" customHeight="1" x14ac:dyDescent="0.2">
      <c r="J81" s="61"/>
      <c r="K81" s="45"/>
      <c r="L81" s="64"/>
      <c r="M81" s="50"/>
      <c r="N81" s="65"/>
      <c r="O81" s="60"/>
    </row>
    <row r="82" spans="2:15" ht="12.75" customHeight="1" x14ac:dyDescent="0.2">
      <c r="C82" s="129" t="s">
        <v>29</v>
      </c>
      <c r="D82" s="130"/>
      <c r="E82" s="163" t="s">
        <v>107</v>
      </c>
      <c r="F82" s="163"/>
      <c r="G82" s="163"/>
      <c r="H82" s="163"/>
      <c r="I82" s="163"/>
      <c r="J82" s="163"/>
      <c r="K82" s="164"/>
      <c r="L82" s="64"/>
      <c r="M82" s="50"/>
      <c r="N82" s="65"/>
      <c r="O82" s="60"/>
    </row>
    <row r="83" spans="2:15" ht="12.75" customHeight="1" x14ac:dyDescent="0.2">
      <c r="C83" s="131"/>
      <c r="D83" s="132"/>
      <c r="E83" s="165"/>
      <c r="F83" s="165"/>
      <c r="G83" s="165"/>
      <c r="H83" s="165"/>
      <c r="I83" s="165"/>
      <c r="J83" s="165"/>
      <c r="K83" s="166"/>
      <c r="L83" s="64"/>
      <c r="M83" s="50"/>
      <c r="N83" s="65"/>
      <c r="O83" s="60"/>
    </row>
    <row r="84" spans="2:15" ht="12.75" customHeight="1" x14ac:dyDescent="0.2">
      <c r="C84" s="131"/>
      <c r="D84" s="132"/>
      <c r="E84" s="165"/>
      <c r="F84" s="165"/>
      <c r="G84" s="165"/>
      <c r="H84" s="165"/>
      <c r="I84" s="165"/>
      <c r="J84" s="165"/>
      <c r="K84" s="166"/>
      <c r="L84" s="64"/>
      <c r="M84" s="50"/>
      <c r="N84" s="65"/>
      <c r="O84" s="60"/>
    </row>
    <row r="85" spans="2:15" ht="12.75" customHeight="1" x14ac:dyDescent="0.2">
      <c r="C85" s="131"/>
      <c r="D85" s="132"/>
      <c r="E85" s="165"/>
      <c r="F85" s="165"/>
      <c r="G85" s="165"/>
      <c r="H85" s="165"/>
      <c r="I85" s="165"/>
      <c r="J85" s="165"/>
      <c r="K85" s="166"/>
      <c r="L85" s="64"/>
      <c r="M85" s="50"/>
      <c r="N85" s="65"/>
      <c r="O85" s="60"/>
    </row>
    <row r="86" spans="2:15" ht="12.75" customHeight="1" thickBot="1" x14ac:dyDescent="0.25">
      <c r="C86" s="133"/>
      <c r="D86" s="134"/>
      <c r="E86" s="167"/>
      <c r="F86" s="167"/>
      <c r="G86" s="167"/>
      <c r="H86" s="167"/>
      <c r="I86" s="167"/>
      <c r="J86" s="167"/>
      <c r="K86" s="168"/>
      <c r="L86" s="64"/>
      <c r="M86" s="50"/>
      <c r="N86" s="65"/>
      <c r="O86" s="60"/>
    </row>
    <row r="87" spans="2:15" ht="12.75" customHeight="1" thickTop="1" x14ac:dyDescent="0.2">
      <c r="C87" s="66"/>
      <c r="D87" s="66"/>
      <c r="E87" s="67"/>
      <c r="F87" s="67"/>
      <c r="G87" s="67"/>
      <c r="H87" s="67"/>
      <c r="I87" s="67"/>
      <c r="J87" s="67"/>
      <c r="K87" s="67"/>
      <c r="L87" s="64"/>
      <c r="M87" s="50"/>
      <c r="N87" s="65"/>
      <c r="O87" s="60"/>
    </row>
    <row r="88" spans="2:15" ht="12.75" customHeight="1" x14ac:dyDescent="0.2">
      <c r="C88" s="66"/>
      <c r="D88" s="66"/>
      <c r="E88" s="67"/>
      <c r="F88" s="67"/>
      <c r="G88" s="67"/>
      <c r="H88" s="67"/>
      <c r="I88" s="67"/>
      <c r="J88" s="67"/>
      <c r="K88" s="67"/>
      <c r="L88" s="64"/>
      <c r="M88" s="50"/>
      <c r="N88" s="65"/>
      <c r="O88" s="60"/>
    </row>
    <row r="89" spans="2:15" ht="12.75" customHeight="1" x14ac:dyDescent="0.2">
      <c r="C89" s="53"/>
      <c r="D89" s="53"/>
      <c r="E89" s="53"/>
      <c r="F89" s="53"/>
      <c r="G89" s="53"/>
      <c r="H89" s="53"/>
      <c r="I89" s="53"/>
      <c r="J89" s="68"/>
      <c r="K89" s="45"/>
      <c r="L89" s="64"/>
      <c r="M89" s="50"/>
      <c r="N89" s="65"/>
      <c r="O89" s="60"/>
    </row>
    <row r="90" spans="2:15" ht="12.75" customHeight="1" x14ac:dyDescent="0.2">
      <c r="B90" s="11" t="s">
        <v>51</v>
      </c>
      <c r="C90" s="48"/>
      <c r="D90" s="48"/>
      <c r="E90" s="48"/>
      <c r="J90" s="11" t="s">
        <v>51</v>
      </c>
      <c r="K90" s="48"/>
      <c r="L90" s="48"/>
      <c r="M90" s="48"/>
      <c r="N90" s="65"/>
      <c r="O90" s="60"/>
    </row>
    <row r="91" spans="2:15" ht="12.75" customHeight="1" x14ac:dyDescent="0.2">
      <c r="J91" s="61"/>
      <c r="K91" s="45"/>
      <c r="L91" s="64"/>
      <c r="M91" s="50"/>
      <c r="N91" s="65"/>
      <c r="O91" s="60"/>
    </row>
    <row r="92" spans="2:15" ht="17.25" customHeight="1" x14ac:dyDescent="0.2">
      <c r="C92" s="69" t="s">
        <v>31</v>
      </c>
      <c r="K92" s="69" t="s">
        <v>108</v>
      </c>
    </row>
    <row r="95" spans="2:15" ht="12.75" customHeight="1" x14ac:dyDescent="0.2">
      <c r="C95" s="70" t="s">
        <v>66</v>
      </c>
      <c r="K95" s="70" t="s">
        <v>66</v>
      </c>
    </row>
    <row r="96" spans="2:15" ht="12.75" customHeight="1" x14ac:dyDescent="0.2">
      <c r="C96" s="36" t="s">
        <v>67</v>
      </c>
      <c r="K96" s="36" t="s">
        <v>67</v>
      </c>
      <c r="O96" s="71"/>
    </row>
    <row r="97" spans="3:15" ht="12.75" customHeight="1" x14ac:dyDescent="0.2">
      <c r="K97" s="162"/>
      <c r="L97" s="162"/>
      <c r="M97" s="71"/>
      <c r="N97" s="71"/>
      <c r="O97" s="71"/>
    </row>
    <row r="98" spans="3:15" ht="12.75" customHeight="1" thickBot="1" x14ac:dyDescent="0.25">
      <c r="C98" s="72" t="s">
        <v>73</v>
      </c>
      <c r="D98" s="72"/>
      <c r="E98" s="72"/>
      <c r="F98" s="72"/>
      <c r="G98" s="72"/>
      <c r="K98" s="72" t="s">
        <v>73</v>
      </c>
      <c r="L98" s="72"/>
      <c r="M98" s="72"/>
      <c r="N98" s="72"/>
      <c r="O98" s="72"/>
    </row>
    <row r="99" spans="3:15" ht="12.75" customHeight="1" x14ac:dyDescent="0.2">
      <c r="C99" s="107" t="s">
        <v>18</v>
      </c>
      <c r="D99" s="108" t="s">
        <v>55</v>
      </c>
      <c r="E99" s="108" t="s">
        <v>56</v>
      </c>
      <c r="F99" s="108" t="s">
        <v>57</v>
      </c>
      <c r="G99" s="109" t="s">
        <v>35</v>
      </c>
      <c r="K99" s="107" t="s">
        <v>18</v>
      </c>
      <c r="L99" s="108" t="s">
        <v>55</v>
      </c>
      <c r="M99" s="108" t="s">
        <v>56</v>
      </c>
      <c r="N99" s="108" t="s">
        <v>57</v>
      </c>
      <c r="O99" s="109" t="s">
        <v>35</v>
      </c>
    </row>
    <row r="100" spans="3:15" ht="12.75" customHeight="1" x14ac:dyDescent="0.2">
      <c r="C100" s="73" t="s">
        <v>58</v>
      </c>
      <c r="D100" s="74">
        <v>55</v>
      </c>
      <c r="E100" s="74">
        <v>78</v>
      </c>
      <c r="F100" s="23">
        <f t="shared" ref="F100:F107" si="1">SUM(D100:E100)</f>
        <v>133</v>
      </c>
      <c r="G100" s="75" t="str">
        <f>IF(F100&gt;=150,"合格","不合格")</f>
        <v>不合格</v>
      </c>
      <c r="K100" s="73" t="s">
        <v>58</v>
      </c>
      <c r="L100" s="74">
        <v>55</v>
      </c>
      <c r="M100" s="74">
        <v>78</v>
      </c>
      <c r="N100" s="23">
        <f t="shared" ref="N100:N107" si="2">SUM(L100:M100)</f>
        <v>133</v>
      </c>
      <c r="O100" s="75"/>
    </row>
    <row r="101" spans="3:15" ht="12.75" customHeight="1" x14ac:dyDescent="0.2">
      <c r="C101" s="76" t="s">
        <v>59</v>
      </c>
      <c r="D101" s="77">
        <v>70</v>
      </c>
      <c r="E101" s="77">
        <v>81</v>
      </c>
      <c r="F101" s="24">
        <f t="shared" si="1"/>
        <v>151</v>
      </c>
      <c r="G101" s="78" t="str">
        <f t="shared" ref="G101:G107" si="3">IF(F101&gt;=150,"合格","不合格")</f>
        <v>合格</v>
      </c>
      <c r="K101" s="76" t="s">
        <v>59</v>
      </c>
      <c r="L101" s="77">
        <v>70</v>
      </c>
      <c r="M101" s="77">
        <v>81</v>
      </c>
      <c r="N101" s="24">
        <f t="shared" si="2"/>
        <v>151</v>
      </c>
      <c r="O101" s="78"/>
    </row>
    <row r="102" spans="3:15" ht="12.75" customHeight="1" x14ac:dyDescent="0.2">
      <c r="C102" s="76" t="s">
        <v>60</v>
      </c>
      <c r="D102" s="77">
        <v>67</v>
      </c>
      <c r="E102" s="77">
        <v>79</v>
      </c>
      <c r="F102" s="24">
        <f t="shared" si="1"/>
        <v>146</v>
      </c>
      <c r="G102" s="78" t="str">
        <f t="shared" si="3"/>
        <v>不合格</v>
      </c>
      <c r="K102" s="76" t="s">
        <v>60</v>
      </c>
      <c r="L102" s="77">
        <v>67</v>
      </c>
      <c r="M102" s="77">
        <v>79</v>
      </c>
      <c r="N102" s="24">
        <f t="shared" si="2"/>
        <v>146</v>
      </c>
      <c r="O102" s="78"/>
    </row>
    <row r="103" spans="3:15" ht="12.75" customHeight="1" x14ac:dyDescent="0.2">
      <c r="C103" s="76" t="s">
        <v>61</v>
      </c>
      <c r="D103" s="77">
        <v>68</v>
      </c>
      <c r="E103" s="77">
        <v>77</v>
      </c>
      <c r="F103" s="24">
        <f t="shared" si="1"/>
        <v>145</v>
      </c>
      <c r="G103" s="78" t="str">
        <f t="shared" si="3"/>
        <v>不合格</v>
      </c>
      <c r="K103" s="76" t="s">
        <v>61</v>
      </c>
      <c r="L103" s="77">
        <v>68</v>
      </c>
      <c r="M103" s="77">
        <v>77</v>
      </c>
      <c r="N103" s="24">
        <f t="shared" si="2"/>
        <v>145</v>
      </c>
      <c r="O103" s="78"/>
    </row>
    <row r="104" spans="3:15" ht="12.75" customHeight="1" x14ac:dyDescent="0.2">
      <c r="C104" s="76" t="s">
        <v>62</v>
      </c>
      <c r="D104" s="77">
        <v>85</v>
      </c>
      <c r="E104" s="77">
        <v>68</v>
      </c>
      <c r="F104" s="24">
        <f t="shared" si="1"/>
        <v>153</v>
      </c>
      <c r="G104" s="78" t="str">
        <f t="shared" si="3"/>
        <v>合格</v>
      </c>
      <c r="K104" s="76" t="s">
        <v>62</v>
      </c>
      <c r="L104" s="77">
        <v>85</v>
      </c>
      <c r="M104" s="77">
        <v>68</v>
      </c>
      <c r="N104" s="24">
        <f t="shared" si="2"/>
        <v>153</v>
      </c>
      <c r="O104" s="78"/>
    </row>
    <row r="105" spans="3:15" ht="12.75" customHeight="1" x14ac:dyDescent="0.2">
      <c r="C105" s="76" t="s">
        <v>63</v>
      </c>
      <c r="D105" s="77">
        <v>57</v>
      </c>
      <c r="E105" s="77">
        <v>70</v>
      </c>
      <c r="F105" s="24">
        <f t="shared" si="1"/>
        <v>127</v>
      </c>
      <c r="G105" s="78" t="str">
        <f t="shared" si="3"/>
        <v>不合格</v>
      </c>
      <c r="K105" s="76" t="s">
        <v>63</v>
      </c>
      <c r="L105" s="77">
        <v>57</v>
      </c>
      <c r="M105" s="77">
        <v>70</v>
      </c>
      <c r="N105" s="24">
        <f t="shared" si="2"/>
        <v>127</v>
      </c>
      <c r="O105" s="78"/>
    </row>
    <row r="106" spans="3:15" ht="12.75" customHeight="1" x14ac:dyDescent="0.2">
      <c r="C106" s="76" t="s">
        <v>64</v>
      </c>
      <c r="D106" s="77">
        <v>70</v>
      </c>
      <c r="E106" s="77">
        <v>79</v>
      </c>
      <c r="F106" s="24">
        <f t="shared" si="1"/>
        <v>149</v>
      </c>
      <c r="G106" s="78" t="str">
        <f t="shared" si="3"/>
        <v>不合格</v>
      </c>
      <c r="K106" s="76" t="s">
        <v>64</v>
      </c>
      <c r="L106" s="77">
        <v>70</v>
      </c>
      <c r="M106" s="77">
        <v>79</v>
      </c>
      <c r="N106" s="24">
        <f t="shared" si="2"/>
        <v>149</v>
      </c>
      <c r="O106" s="78"/>
    </row>
    <row r="107" spans="3:15" ht="12.75" customHeight="1" thickBot="1" x14ac:dyDescent="0.25">
      <c r="C107" s="79" t="s">
        <v>65</v>
      </c>
      <c r="D107" s="80">
        <v>68</v>
      </c>
      <c r="E107" s="80">
        <v>82</v>
      </c>
      <c r="F107" s="25">
        <f t="shared" si="1"/>
        <v>150</v>
      </c>
      <c r="G107" s="81" t="str">
        <f t="shared" si="3"/>
        <v>合格</v>
      </c>
      <c r="K107" s="79" t="s">
        <v>65</v>
      </c>
      <c r="L107" s="80">
        <v>68</v>
      </c>
      <c r="M107" s="80">
        <v>82</v>
      </c>
      <c r="N107" s="25">
        <f t="shared" si="2"/>
        <v>150</v>
      </c>
      <c r="O107" s="81"/>
    </row>
    <row r="109" spans="3:15" ht="12.75" customHeight="1" x14ac:dyDescent="0.2">
      <c r="C109" s="36" t="s">
        <v>32</v>
      </c>
      <c r="D109" s="102" t="s">
        <v>113</v>
      </c>
      <c r="K109" s="36" t="s">
        <v>32</v>
      </c>
      <c r="L109" s="102" t="s">
        <v>113</v>
      </c>
    </row>
    <row r="110" spans="3:15" ht="12.75" customHeight="1" x14ac:dyDescent="0.2">
      <c r="D110" s="70" t="s">
        <v>68</v>
      </c>
      <c r="F110" s="26" t="s">
        <v>100</v>
      </c>
      <c r="G110" s="36" t="s">
        <v>69</v>
      </c>
      <c r="L110" s="70" t="s">
        <v>68</v>
      </c>
      <c r="N110" s="26" t="s">
        <v>100</v>
      </c>
      <c r="O110" s="36" t="s">
        <v>69</v>
      </c>
    </row>
    <row r="111" spans="3:15" ht="12.75" customHeight="1" x14ac:dyDescent="0.2">
      <c r="D111" s="110" t="s">
        <v>117</v>
      </c>
      <c r="F111" s="27" t="s">
        <v>101</v>
      </c>
      <c r="G111" s="36" t="s">
        <v>69</v>
      </c>
      <c r="L111" s="110" t="s">
        <v>117</v>
      </c>
      <c r="N111" s="27" t="s">
        <v>101</v>
      </c>
      <c r="O111" s="36" t="s">
        <v>69</v>
      </c>
    </row>
    <row r="112" spans="3:15" ht="12.75" customHeight="1" thickBot="1" x14ac:dyDescent="0.25"/>
    <row r="113" spans="2:15" ht="12.75" customHeight="1" x14ac:dyDescent="0.2">
      <c r="B113" s="169" t="s">
        <v>124</v>
      </c>
      <c r="C113" s="170"/>
      <c r="D113" s="170"/>
      <c r="E113" s="170"/>
      <c r="F113" s="170"/>
      <c r="G113" s="170"/>
      <c r="H113" s="170"/>
      <c r="I113" s="170"/>
      <c r="J113" s="170"/>
      <c r="K113" s="170"/>
      <c r="L113" s="170"/>
      <c r="M113" s="170"/>
      <c r="N113" s="170"/>
      <c r="O113" s="171"/>
    </row>
    <row r="114" spans="2:15" ht="12.75" customHeight="1" x14ac:dyDescent="0.2">
      <c r="B114" s="172"/>
      <c r="C114" s="173"/>
      <c r="D114" s="173"/>
      <c r="E114" s="173"/>
      <c r="F114" s="173"/>
      <c r="G114" s="173"/>
      <c r="H114" s="173"/>
      <c r="I114" s="173"/>
      <c r="J114" s="173"/>
      <c r="K114" s="173"/>
      <c r="L114" s="173"/>
      <c r="M114" s="173"/>
      <c r="N114" s="173"/>
      <c r="O114" s="174"/>
    </row>
    <row r="115" spans="2:15" ht="12.75" customHeight="1" thickBot="1" x14ac:dyDescent="0.25">
      <c r="B115" s="175"/>
      <c r="C115" s="176"/>
      <c r="D115" s="176"/>
      <c r="E115" s="176"/>
      <c r="F115" s="176"/>
      <c r="G115" s="176"/>
      <c r="H115" s="176"/>
      <c r="I115" s="176"/>
      <c r="J115" s="176"/>
      <c r="K115" s="176"/>
      <c r="L115" s="176"/>
      <c r="M115" s="176"/>
      <c r="N115" s="176"/>
      <c r="O115" s="177"/>
    </row>
    <row r="116" spans="2:15" ht="12.75" customHeight="1" x14ac:dyDescent="0.2">
      <c r="B116" s="115"/>
      <c r="C116" s="115" t="s">
        <v>70</v>
      </c>
      <c r="D116" s="115" t="s">
        <v>72</v>
      </c>
      <c r="E116" s="115"/>
      <c r="F116" s="115"/>
      <c r="G116" s="115"/>
      <c r="H116" s="115"/>
      <c r="I116" s="115"/>
      <c r="J116" s="115"/>
      <c r="K116" s="115" t="s">
        <v>70</v>
      </c>
      <c r="L116" s="115" t="s">
        <v>72</v>
      </c>
      <c r="M116" s="115"/>
      <c r="N116" s="115"/>
      <c r="O116" s="115"/>
    </row>
    <row r="117" spans="2:15" ht="12.75" customHeight="1" x14ac:dyDescent="0.2">
      <c r="B117" s="115"/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</row>
    <row r="118" spans="2:15" ht="12.75" customHeight="1" x14ac:dyDescent="0.2">
      <c r="B118" s="115"/>
      <c r="C118" s="115"/>
      <c r="D118" s="120" t="s">
        <v>33</v>
      </c>
      <c r="E118" s="120" t="s">
        <v>71</v>
      </c>
      <c r="F118" s="115"/>
      <c r="G118" s="115"/>
      <c r="H118" s="115"/>
      <c r="I118" s="115"/>
      <c r="J118" s="115"/>
      <c r="K118" s="115"/>
      <c r="L118" s="120" t="s">
        <v>33</v>
      </c>
      <c r="M118" s="120" t="s">
        <v>71</v>
      </c>
      <c r="N118" s="115"/>
      <c r="O118" s="115"/>
    </row>
    <row r="119" spans="2:15" ht="12.75" customHeight="1" x14ac:dyDescent="0.2">
      <c r="B119" s="115"/>
      <c r="C119" s="115"/>
      <c r="D119" s="117">
        <v>1</v>
      </c>
      <c r="E119" s="118">
        <f>LARGE($F$100:$F$107,D119)</f>
        <v>153</v>
      </c>
      <c r="F119" s="115"/>
      <c r="G119" s="115"/>
      <c r="H119" s="115"/>
      <c r="I119" s="115"/>
      <c r="J119" s="115"/>
      <c r="K119" s="115"/>
      <c r="L119" s="116">
        <v>1</v>
      </c>
      <c r="M119" s="119"/>
      <c r="N119" s="115"/>
      <c r="O119" s="115"/>
    </row>
    <row r="120" spans="2:15" ht="12.75" customHeight="1" x14ac:dyDescent="0.2">
      <c r="B120" s="115"/>
      <c r="C120" s="115"/>
      <c r="D120" s="117">
        <v>2</v>
      </c>
      <c r="E120" s="118">
        <f>LARGE($F$100:$F$107,D120)</f>
        <v>151</v>
      </c>
      <c r="F120" s="115"/>
      <c r="G120" s="115"/>
      <c r="H120" s="115"/>
      <c r="I120" s="115"/>
      <c r="J120" s="115"/>
      <c r="K120" s="115"/>
      <c r="L120" s="116">
        <v>2</v>
      </c>
      <c r="M120" s="119"/>
      <c r="N120" s="115"/>
      <c r="O120" s="115"/>
    </row>
    <row r="121" spans="2:15" ht="12.75" customHeight="1" x14ac:dyDescent="0.2">
      <c r="B121" s="115"/>
      <c r="C121" s="115"/>
      <c r="D121" s="117">
        <v>3</v>
      </c>
      <c r="E121" s="118">
        <f>LARGE($F$100:$F$107,D121)</f>
        <v>150</v>
      </c>
      <c r="F121" s="115"/>
      <c r="G121" s="115"/>
      <c r="H121" s="115"/>
      <c r="I121" s="115"/>
      <c r="J121" s="115"/>
      <c r="K121" s="115"/>
      <c r="L121" s="116">
        <v>3</v>
      </c>
      <c r="M121" s="119"/>
      <c r="N121" s="115"/>
      <c r="O121" s="115"/>
    </row>
    <row r="122" spans="2:15" ht="12.75" customHeight="1" x14ac:dyDescent="0.2"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</row>
    <row r="127" spans="2:15" ht="12.75" customHeight="1" x14ac:dyDescent="0.2">
      <c r="B127" s="11" t="s">
        <v>51</v>
      </c>
      <c r="C127" s="48"/>
      <c r="D127" s="48"/>
      <c r="E127" s="48"/>
      <c r="J127" s="11" t="s">
        <v>51</v>
      </c>
      <c r="K127" s="48"/>
      <c r="L127" s="48"/>
      <c r="M127" s="48"/>
    </row>
    <row r="129" spans="2:14" ht="16.5" customHeight="1" x14ac:dyDescent="0.2">
      <c r="C129" s="69" t="s">
        <v>31</v>
      </c>
      <c r="K129" s="69" t="s">
        <v>31</v>
      </c>
    </row>
    <row r="130" spans="2:14" ht="12.75" customHeight="1" x14ac:dyDescent="0.2">
      <c r="K130" s="142" t="s">
        <v>82</v>
      </c>
      <c r="L130" s="142"/>
      <c r="M130" s="142"/>
    </row>
    <row r="132" spans="2:14" ht="12.75" customHeight="1" thickBot="1" x14ac:dyDescent="0.25">
      <c r="B132" s="72" t="s">
        <v>73</v>
      </c>
      <c r="C132" s="72"/>
      <c r="D132" s="72"/>
      <c r="E132" s="72"/>
      <c r="K132" s="72" t="s">
        <v>73</v>
      </c>
      <c r="L132" s="72"/>
      <c r="M132" s="72"/>
      <c r="N132" s="72"/>
    </row>
    <row r="133" spans="2:14" ht="12.75" customHeight="1" x14ac:dyDescent="0.2">
      <c r="B133" s="107" t="s">
        <v>18</v>
      </c>
      <c r="C133" s="108" t="s">
        <v>57</v>
      </c>
      <c r="D133" s="108" t="s">
        <v>33</v>
      </c>
      <c r="E133" s="109" t="s">
        <v>35</v>
      </c>
      <c r="K133" s="107" t="s">
        <v>18</v>
      </c>
      <c r="L133" s="108" t="s">
        <v>57</v>
      </c>
      <c r="M133" s="108" t="s">
        <v>33</v>
      </c>
      <c r="N133" s="109" t="s">
        <v>35</v>
      </c>
    </row>
    <row r="134" spans="2:14" ht="12.75" customHeight="1" x14ac:dyDescent="0.2">
      <c r="B134" s="73" t="s">
        <v>58</v>
      </c>
      <c r="C134" s="23">
        <v>133</v>
      </c>
      <c r="D134" s="83">
        <f t="shared" ref="D134:D141" si="4">RANK(C134,$C$134:$C$141,0)</f>
        <v>7</v>
      </c>
      <c r="E134" s="84" t="str">
        <f>IF(D134&lt;=5,"合格","")</f>
        <v/>
      </c>
      <c r="K134" s="73" t="s">
        <v>58</v>
      </c>
      <c r="L134" s="23">
        <v>133</v>
      </c>
      <c r="M134" s="83"/>
      <c r="N134" s="84"/>
    </row>
    <row r="135" spans="2:14" ht="12.75" customHeight="1" x14ac:dyDescent="0.2">
      <c r="B135" s="76" t="s">
        <v>59</v>
      </c>
      <c r="C135" s="24">
        <v>151</v>
      </c>
      <c r="D135" s="85">
        <f t="shared" si="4"/>
        <v>2</v>
      </c>
      <c r="E135" s="86" t="str">
        <f>IF(D135&lt;=5,"合格","")</f>
        <v>合格</v>
      </c>
      <c r="K135" s="76" t="s">
        <v>59</v>
      </c>
      <c r="L135" s="24">
        <v>151</v>
      </c>
      <c r="M135" s="85"/>
      <c r="N135" s="86"/>
    </row>
    <row r="136" spans="2:14" ht="12.75" customHeight="1" x14ac:dyDescent="0.2">
      <c r="B136" s="76" t="s">
        <v>60</v>
      </c>
      <c r="C136" s="24">
        <v>146</v>
      </c>
      <c r="D136" s="85">
        <f t="shared" si="4"/>
        <v>5</v>
      </c>
      <c r="E136" s="86" t="str">
        <f t="shared" ref="E136:E141" si="5">IF(D136&lt;=5,"合格","")</f>
        <v>合格</v>
      </c>
      <c r="K136" s="76" t="s">
        <v>60</v>
      </c>
      <c r="L136" s="24">
        <v>146</v>
      </c>
      <c r="M136" s="85"/>
      <c r="N136" s="86"/>
    </row>
    <row r="137" spans="2:14" ht="12.75" customHeight="1" x14ac:dyDescent="0.2">
      <c r="B137" s="76" t="s">
        <v>61</v>
      </c>
      <c r="C137" s="24">
        <v>145</v>
      </c>
      <c r="D137" s="85">
        <f t="shared" si="4"/>
        <v>6</v>
      </c>
      <c r="E137" s="86" t="str">
        <f t="shared" si="5"/>
        <v/>
      </c>
      <c r="K137" s="76" t="s">
        <v>61</v>
      </c>
      <c r="L137" s="24">
        <v>145</v>
      </c>
      <c r="M137" s="85"/>
      <c r="N137" s="86"/>
    </row>
    <row r="138" spans="2:14" ht="12.75" customHeight="1" x14ac:dyDescent="0.2">
      <c r="B138" s="76" t="s">
        <v>62</v>
      </c>
      <c r="C138" s="24">
        <v>153</v>
      </c>
      <c r="D138" s="85">
        <f t="shared" si="4"/>
        <v>1</v>
      </c>
      <c r="E138" s="86" t="str">
        <f t="shared" si="5"/>
        <v>合格</v>
      </c>
      <c r="K138" s="76" t="s">
        <v>62</v>
      </c>
      <c r="L138" s="24">
        <v>153</v>
      </c>
      <c r="M138" s="85"/>
      <c r="N138" s="86"/>
    </row>
    <row r="139" spans="2:14" ht="12.75" customHeight="1" x14ac:dyDescent="0.2">
      <c r="B139" s="76" t="s">
        <v>63</v>
      </c>
      <c r="C139" s="24">
        <v>127</v>
      </c>
      <c r="D139" s="85">
        <f t="shared" si="4"/>
        <v>8</v>
      </c>
      <c r="E139" s="86" t="str">
        <f t="shared" si="5"/>
        <v/>
      </c>
      <c r="K139" s="76" t="s">
        <v>63</v>
      </c>
      <c r="L139" s="24">
        <v>127</v>
      </c>
      <c r="M139" s="85"/>
      <c r="N139" s="86"/>
    </row>
    <row r="140" spans="2:14" ht="12.75" customHeight="1" x14ac:dyDescent="0.2">
      <c r="B140" s="76" t="s">
        <v>64</v>
      </c>
      <c r="C140" s="24">
        <v>149</v>
      </c>
      <c r="D140" s="85">
        <f t="shared" si="4"/>
        <v>4</v>
      </c>
      <c r="E140" s="86" t="str">
        <f t="shared" si="5"/>
        <v>合格</v>
      </c>
      <c r="K140" s="76" t="s">
        <v>64</v>
      </c>
      <c r="L140" s="24">
        <v>149</v>
      </c>
      <c r="M140" s="85"/>
      <c r="N140" s="86"/>
    </row>
    <row r="141" spans="2:14" ht="12.75" customHeight="1" thickBot="1" x14ac:dyDescent="0.25">
      <c r="B141" s="87" t="s">
        <v>65</v>
      </c>
      <c r="C141" s="28">
        <v>150</v>
      </c>
      <c r="D141" s="88">
        <f t="shared" si="4"/>
        <v>3</v>
      </c>
      <c r="E141" s="89" t="str">
        <f t="shared" si="5"/>
        <v>合格</v>
      </c>
      <c r="K141" s="79" t="s">
        <v>65</v>
      </c>
      <c r="L141" s="25">
        <v>150</v>
      </c>
      <c r="M141" s="90"/>
      <c r="N141" s="91"/>
    </row>
    <row r="142" spans="2:14" ht="12.75" customHeight="1" thickBot="1" x14ac:dyDescent="0.25">
      <c r="B142" s="92" t="s">
        <v>79</v>
      </c>
      <c r="C142" s="29">
        <f>AVERAGE(C134:C141)</f>
        <v>144.25</v>
      </c>
      <c r="D142" s="93"/>
      <c r="E142" s="94"/>
      <c r="K142" s="92" t="s">
        <v>79</v>
      </c>
      <c r="L142" s="30"/>
      <c r="M142" s="93"/>
      <c r="N142" s="94"/>
    </row>
    <row r="143" spans="2:14" customFormat="1" ht="12.75" customHeight="1" x14ac:dyDescent="0.2"/>
    <row r="144" spans="2:14" customFormat="1" ht="12.75" customHeight="1" x14ac:dyDescent="0.2"/>
    <row r="145" spans="2:15" customFormat="1" ht="12.75" customHeight="1" x14ac:dyDescent="0.2">
      <c r="B145" s="36" t="s">
        <v>32</v>
      </c>
      <c r="C145" s="36" t="s">
        <v>76</v>
      </c>
      <c r="D145" s="36"/>
      <c r="E145" s="36"/>
      <c r="F145" s="36"/>
      <c r="G145" s="36"/>
      <c r="H145" s="36"/>
      <c r="I145" s="36"/>
      <c r="J145" s="36" t="s">
        <v>32</v>
      </c>
      <c r="K145" s="36" t="s">
        <v>76</v>
      </c>
      <c r="L145" s="36"/>
      <c r="M145" s="36"/>
      <c r="N145" s="36"/>
      <c r="O145" s="36"/>
    </row>
    <row r="146" spans="2:15" customFormat="1" ht="12.75" customHeight="1" thickBot="1" x14ac:dyDescent="0.25"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</row>
    <row r="147" spans="2:15" customFormat="1" ht="12.75" customHeight="1" x14ac:dyDescent="0.2">
      <c r="B147" s="169" t="s">
        <v>125</v>
      </c>
      <c r="C147" s="170"/>
      <c r="D147" s="170"/>
      <c r="E147" s="170"/>
      <c r="F147" s="170"/>
      <c r="G147" s="170"/>
      <c r="H147" s="170"/>
      <c r="I147" s="170"/>
      <c r="J147" s="170"/>
      <c r="K147" s="170"/>
      <c r="L147" s="170"/>
      <c r="M147" s="170"/>
      <c r="N147" s="170"/>
      <c r="O147" s="171"/>
    </row>
    <row r="148" spans="2:15" customFormat="1" ht="12.75" customHeight="1" x14ac:dyDescent="0.2">
      <c r="B148" s="172"/>
      <c r="C148" s="173"/>
      <c r="D148" s="173"/>
      <c r="E148" s="173"/>
      <c r="F148" s="173"/>
      <c r="G148" s="173"/>
      <c r="H148" s="173"/>
      <c r="I148" s="173"/>
      <c r="J148" s="173"/>
      <c r="K148" s="173"/>
      <c r="L148" s="173"/>
      <c r="M148" s="173"/>
      <c r="N148" s="173"/>
      <c r="O148" s="174"/>
    </row>
    <row r="149" spans="2:15" ht="12.75" customHeight="1" thickBot="1" x14ac:dyDescent="0.25">
      <c r="B149" s="175"/>
      <c r="C149" s="176"/>
      <c r="D149" s="176"/>
      <c r="E149" s="176"/>
      <c r="F149" s="176"/>
      <c r="G149" s="176"/>
      <c r="H149" s="176"/>
      <c r="I149" s="176"/>
      <c r="J149" s="176"/>
      <c r="K149" s="176"/>
      <c r="L149" s="176"/>
      <c r="M149" s="176"/>
      <c r="N149" s="176"/>
      <c r="O149" s="177"/>
    </row>
    <row r="150" spans="2:15" ht="12.75" customHeight="1" x14ac:dyDescent="0.2">
      <c r="B150" s="115" t="s">
        <v>74</v>
      </c>
      <c r="C150" s="121" t="s">
        <v>75</v>
      </c>
      <c r="D150" s="115"/>
      <c r="E150" s="115"/>
      <c r="F150" s="115"/>
      <c r="G150" s="115"/>
      <c r="H150" s="115"/>
      <c r="I150" s="115"/>
      <c r="J150" s="115" t="s">
        <v>74</v>
      </c>
      <c r="K150" s="121" t="s">
        <v>75</v>
      </c>
      <c r="L150" s="115"/>
      <c r="M150" s="115"/>
      <c r="N150" s="115"/>
      <c r="O150" s="115"/>
    </row>
    <row r="151" spans="2:15" ht="12.75" customHeight="1" x14ac:dyDescent="0.2"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</row>
    <row r="152" spans="2:15" ht="12.75" customHeight="1" x14ac:dyDescent="0.2">
      <c r="B152" s="115" t="s">
        <v>77</v>
      </c>
      <c r="C152" s="115" t="s">
        <v>83</v>
      </c>
      <c r="D152" s="115"/>
      <c r="E152" s="115"/>
      <c r="F152" s="115"/>
      <c r="G152" s="115"/>
      <c r="H152" s="115"/>
      <c r="I152" s="115"/>
      <c r="J152" s="115" t="s">
        <v>77</v>
      </c>
      <c r="K152" s="115" t="s">
        <v>83</v>
      </c>
      <c r="L152" s="115"/>
      <c r="M152" s="115"/>
      <c r="N152" s="115"/>
      <c r="O152" s="115"/>
    </row>
    <row r="153" spans="2:15" ht="12.75" customHeight="1" x14ac:dyDescent="0.2">
      <c r="B153" s="115"/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</row>
    <row r="154" spans="2:15" ht="12.75" customHeight="1" x14ac:dyDescent="0.2">
      <c r="B154" s="115"/>
      <c r="C154" s="115"/>
      <c r="D154" s="115"/>
      <c r="E154" s="115"/>
      <c r="F154" s="113">
        <f>COUNTBLANK(E134:E141)</f>
        <v>3</v>
      </c>
      <c r="G154" s="115"/>
      <c r="H154" s="115"/>
      <c r="I154" s="115"/>
      <c r="J154" s="115"/>
      <c r="K154" s="115"/>
      <c r="L154" s="115"/>
      <c r="M154" s="115"/>
      <c r="N154" s="113"/>
      <c r="O154" s="115"/>
    </row>
    <row r="155" spans="2:15" ht="12.75" customHeight="1" x14ac:dyDescent="0.2"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</row>
    <row r="156" spans="2:15" ht="12.75" customHeight="1" x14ac:dyDescent="0.2">
      <c r="B156" s="115"/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</row>
    <row r="157" spans="2:15" ht="5.25" customHeight="1" x14ac:dyDescent="0.2">
      <c r="B157" s="115"/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</row>
    <row r="158" spans="2:15" ht="12.75" customHeight="1" x14ac:dyDescent="0.2">
      <c r="B158" s="115" t="s">
        <v>78</v>
      </c>
      <c r="C158" s="115" t="s">
        <v>122</v>
      </c>
      <c r="D158" s="115"/>
      <c r="E158" s="115"/>
      <c r="F158" s="115"/>
      <c r="G158" s="115"/>
      <c r="H158" s="115"/>
      <c r="I158" s="115"/>
      <c r="J158" s="115" t="s">
        <v>78</v>
      </c>
      <c r="K158" s="115" t="s">
        <v>122</v>
      </c>
      <c r="L158" s="115"/>
      <c r="M158" s="115"/>
      <c r="N158" s="115"/>
      <c r="O158" s="115"/>
    </row>
    <row r="159" spans="2:15" ht="12.75" customHeight="1" x14ac:dyDescent="0.2">
      <c r="B159" s="115"/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</row>
    <row r="160" spans="2:15" ht="12.75" customHeight="1" x14ac:dyDescent="0.2">
      <c r="B160" s="115"/>
      <c r="C160" s="115"/>
      <c r="D160" s="115"/>
      <c r="E160" s="115"/>
      <c r="F160" s="114">
        <f>SUMIF(E134:E141,E135,C134:C141)</f>
        <v>749</v>
      </c>
      <c r="G160" s="122" t="s">
        <v>84</v>
      </c>
      <c r="H160" s="115"/>
      <c r="I160" s="115"/>
      <c r="J160" s="115"/>
      <c r="K160" s="115"/>
      <c r="L160" s="115"/>
      <c r="M160" s="115"/>
      <c r="N160" s="113"/>
      <c r="O160" s="115"/>
    </row>
    <row r="161" spans="2:15" ht="12.75" customHeight="1" x14ac:dyDescent="0.2">
      <c r="B161" s="115"/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</row>
    <row r="162" spans="2:15" ht="12.75" customHeight="1" x14ac:dyDescent="0.2">
      <c r="B162" s="115"/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</row>
    <row r="163" spans="2:15" ht="12.75" customHeight="1" x14ac:dyDescent="0.2">
      <c r="B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</row>
    <row r="164" spans="2:15" ht="12.75" customHeight="1" x14ac:dyDescent="0.2">
      <c r="B164" s="115" t="s">
        <v>80</v>
      </c>
      <c r="C164" s="115" t="s">
        <v>81</v>
      </c>
      <c r="D164" s="115"/>
      <c r="E164" s="115"/>
      <c r="F164" s="115"/>
      <c r="G164" s="115"/>
      <c r="H164" s="115"/>
      <c r="I164" s="115"/>
      <c r="J164" s="115" t="s">
        <v>80</v>
      </c>
      <c r="K164" s="115" t="s">
        <v>81</v>
      </c>
      <c r="L164" s="115"/>
      <c r="M164" s="115"/>
      <c r="N164" s="115"/>
      <c r="O164" s="115"/>
    </row>
    <row r="165" spans="2:15" ht="12.75" customHeight="1" x14ac:dyDescent="0.2">
      <c r="B165" s="115"/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</row>
    <row r="166" spans="2:15" ht="12.75" customHeight="1" x14ac:dyDescent="0.2">
      <c r="B166" s="115"/>
      <c r="C166" s="115"/>
      <c r="D166" s="115"/>
      <c r="E166" s="115"/>
      <c r="F166" s="113">
        <f>ROUNDDOWN(C142,1)</f>
        <v>144.19999999999999</v>
      </c>
      <c r="G166" s="115"/>
      <c r="H166" s="115"/>
      <c r="I166" s="115"/>
      <c r="J166" s="115"/>
      <c r="K166" s="115"/>
      <c r="L166" s="115"/>
      <c r="M166" s="115"/>
      <c r="N166" s="113"/>
      <c r="O166" s="115"/>
    </row>
    <row r="167" spans="2:15" ht="12.75" customHeight="1" x14ac:dyDescent="0.2">
      <c r="B167" s="115"/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</row>
    <row r="169" spans="2:15" ht="20.25" customHeight="1" x14ac:dyDescent="0.2">
      <c r="C169" s="149" t="s">
        <v>87</v>
      </c>
      <c r="D169" s="151" t="s">
        <v>85</v>
      </c>
      <c r="E169" s="151"/>
      <c r="F169" s="153" t="s">
        <v>109</v>
      </c>
      <c r="G169" s="154"/>
      <c r="H169" s="154"/>
      <c r="I169" s="154"/>
      <c r="J169" s="154"/>
      <c r="K169" s="154"/>
      <c r="L169" s="154"/>
      <c r="M169" s="154"/>
      <c r="N169" s="155"/>
    </row>
    <row r="170" spans="2:15" ht="20.25" customHeight="1" thickBot="1" x14ac:dyDescent="0.25">
      <c r="C170" s="150"/>
      <c r="D170" s="152" t="s">
        <v>86</v>
      </c>
      <c r="E170" s="152"/>
      <c r="F170" s="156"/>
      <c r="G170" s="156"/>
      <c r="H170" s="156"/>
      <c r="I170" s="156"/>
      <c r="J170" s="156"/>
      <c r="K170" s="156"/>
      <c r="L170" s="156"/>
      <c r="M170" s="156"/>
      <c r="N170" s="157"/>
    </row>
    <row r="171" spans="2:15" ht="12.75" customHeight="1" thickTop="1" x14ac:dyDescent="0.2"/>
    <row r="172" spans="2:15" ht="12.75" customHeight="1" x14ac:dyDescent="0.2">
      <c r="E172" s="1" t="s">
        <v>88</v>
      </c>
    </row>
    <row r="175" spans="2:15" ht="12.75" customHeight="1" x14ac:dyDescent="0.2">
      <c r="B175" s="11" t="s">
        <v>51</v>
      </c>
      <c r="C175" s="48"/>
      <c r="D175" s="48"/>
      <c r="E175" s="48"/>
      <c r="J175" s="11" t="s">
        <v>51</v>
      </c>
      <c r="K175" s="48"/>
      <c r="L175" s="48"/>
      <c r="M175" s="48"/>
    </row>
    <row r="176" spans="2:15" ht="12.75" customHeight="1" x14ac:dyDescent="0.2">
      <c r="B176" s="1"/>
    </row>
    <row r="177" spans="2:13" ht="15.75" customHeight="1" thickBot="1" x14ac:dyDescent="0.25">
      <c r="B177" s="31" t="s">
        <v>27</v>
      </c>
      <c r="C177" s="36" t="s">
        <v>89</v>
      </c>
    </row>
    <row r="178" spans="2:13" ht="12.75" customHeight="1" thickTop="1" x14ac:dyDescent="0.2">
      <c r="J178" s="36" t="s">
        <v>95</v>
      </c>
    </row>
    <row r="179" spans="2:13" ht="19.5" customHeight="1" x14ac:dyDescent="0.2">
      <c r="D179" s="95"/>
      <c r="E179" s="95"/>
      <c r="F179" s="95"/>
      <c r="G179" s="95"/>
      <c r="J179" s="96" t="s">
        <v>118</v>
      </c>
    </row>
    <row r="180" spans="2:13" ht="12.75" customHeight="1" x14ac:dyDescent="0.2">
      <c r="C180" s="82" t="s">
        <v>90</v>
      </c>
      <c r="D180" s="82" t="s">
        <v>91</v>
      </c>
      <c r="E180" s="82" t="s">
        <v>92</v>
      </c>
      <c r="F180" s="82" t="s">
        <v>93</v>
      </c>
      <c r="J180" s="36" t="s">
        <v>96</v>
      </c>
    </row>
    <row r="181" spans="2:13" ht="15.75" customHeight="1" x14ac:dyDescent="0.2">
      <c r="C181" s="97">
        <v>40826</v>
      </c>
      <c r="D181" s="32">
        <v>120</v>
      </c>
      <c r="E181" s="32">
        <v>1000</v>
      </c>
      <c r="F181" s="34">
        <f t="shared" ref="F181:F186" si="6">D181*E181</f>
        <v>120000</v>
      </c>
      <c r="J181" s="98" t="s">
        <v>111</v>
      </c>
    </row>
    <row r="182" spans="2:13" ht="12.75" customHeight="1" x14ac:dyDescent="0.2">
      <c r="C182" s="97">
        <v>40827</v>
      </c>
      <c r="D182" s="32">
        <v>90</v>
      </c>
      <c r="E182" s="32">
        <v>1000</v>
      </c>
      <c r="F182" s="32">
        <f t="shared" si="6"/>
        <v>90000</v>
      </c>
      <c r="J182" t="s">
        <v>112</v>
      </c>
    </row>
    <row r="183" spans="2:13" ht="12.75" customHeight="1" x14ac:dyDescent="0.2">
      <c r="C183" s="97">
        <v>40828</v>
      </c>
      <c r="D183" s="32">
        <v>130</v>
      </c>
      <c r="E183" s="32">
        <v>1000</v>
      </c>
      <c r="F183" s="32">
        <f t="shared" si="6"/>
        <v>130000</v>
      </c>
    </row>
    <row r="184" spans="2:13" ht="12.75" customHeight="1" x14ac:dyDescent="0.2">
      <c r="C184" s="101">
        <v>40829</v>
      </c>
      <c r="D184" s="32"/>
      <c r="E184" s="32">
        <v>1000</v>
      </c>
      <c r="F184" s="33">
        <f t="shared" si="6"/>
        <v>0</v>
      </c>
      <c r="J184" s="111" t="s">
        <v>110</v>
      </c>
      <c r="K184" s="112"/>
      <c r="L184" s="112"/>
      <c r="M184" s="112"/>
    </row>
    <row r="185" spans="2:13" ht="12.75" customHeight="1" x14ac:dyDescent="0.2">
      <c r="C185" s="101">
        <v>40830</v>
      </c>
      <c r="D185" s="32"/>
      <c r="E185" s="32">
        <v>1000</v>
      </c>
      <c r="F185" s="33">
        <f t="shared" si="6"/>
        <v>0</v>
      </c>
      <c r="J185" s="112" t="s">
        <v>97</v>
      </c>
      <c r="K185" s="112"/>
      <c r="L185" s="112"/>
      <c r="M185" s="112"/>
    </row>
    <row r="186" spans="2:13" ht="12.75" customHeight="1" x14ac:dyDescent="0.2">
      <c r="C186" s="101">
        <v>40831</v>
      </c>
      <c r="D186" s="32"/>
      <c r="E186" s="32">
        <v>1000</v>
      </c>
      <c r="F186" s="33">
        <f t="shared" si="6"/>
        <v>0</v>
      </c>
    </row>
    <row r="187" spans="2:13" ht="12.75" customHeight="1" x14ac:dyDescent="0.2">
      <c r="C187" s="99" t="s">
        <v>94</v>
      </c>
      <c r="D187" s="32">
        <f>SUM(D181:D186)</f>
        <v>340</v>
      </c>
      <c r="E187" s="32">
        <f>SUM(E181:E186)</f>
        <v>6000</v>
      </c>
      <c r="F187" s="32">
        <f>SUM(F181:F186)</f>
        <v>340000</v>
      </c>
    </row>
    <row r="188" spans="2:13" ht="12.75" customHeight="1" x14ac:dyDescent="0.2">
      <c r="C188" s="100"/>
    </row>
    <row r="191" spans="2:13" ht="18" customHeight="1" x14ac:dyDescent="0.2">
      <c r="C191" s="69" t="s">
        <v>31</v>
      </c>
      <c r="K191" s="69" t="s">
        <v>31</v>
      </c>
    </row>
    <row r="193" spans="3:14" ht="12.75" customHeight="1" x14ac:dyDescent="0.2">
      <c r="C193" s="82" t="s">
        <v>90</v>
      </c>
      <c r="D193" s="82" t="s">
        <v>91</v>
      </c>
      <c r="E193" s="82" t="s">
        <v>92</v>
      </c>
      <c r="F193" s="82" t="s">
        <v>93</v>
      </c>
      <c r="K193" s="82" t="s">
        <v>90</v>
      </c>
      <c r="L193" s="82" t="s">
        <v>91</v>
      </c>
      <c r="M193" s="82" t="s">
        <v>92</v>
      </c>
      <c r="N193" s="82" t="s">
        <v>93</v>
      </c>
    </row>
    <row r="194" spans="3:14" ht="12.75" customHeight="1" x14ac:dyDescent="0.2">
      <c r="C194" s="97">
        <v>40826</v>
      </c>
      <c r="D194" s="32">
        <v>120</v>
      </c>
      <c r="E194" s="32">
        <v>1000</v>
      </c>
      <c r="F194" s="35">
        <f t="shared" ref="F194:F199" si="7">IF(D194="","",D194*E194)</f>
        <v>120000</v>
      </c>
      <c r="K194" s="97">
        <v>40826</v>
      </c>
      <c r="L194" s="32">
        <v>120</v>
      </c>
      <c r="M194" s="32">
        <v>1000</v>
      </c>
      <c r="N194" s="35"/>
    </row>
    <row r="195" spans="3:14" ht="12.75" customHeight="1" x14ac:dyDescent="0.2">
      <c r="C195" s="97">
        <v>40827</v>
      </c>
      <c r="D195" s="32">
        <v>90</v>
      </c>
      <c r="E195" s="32">
        <v>1000</v>
      </c>
      <c r="F195" s="35">
        <f t="shared" si="7"/>
        <v>90000</v>
      </c>
      <c r="K195" s="97">
        <v>40827</v>
      </c>
      <c r="L195" s="32">
        <v>90</v>
      </c>
      <c r="M195" s="32">
        <v>1000</v>
      </c>
      <c r="N195" s="35"/>
    </row>
    <row r="196" spans="3:14" ht="12.75" customHeight="1" x14ac:dyDescent="0.2">
      <c r="C196" s="97">
        <v>40828</v>
      </c>
      <c r="D196" s="32">
        <v>130</v>
      </c>
      <c r="E196" s="32">
        <v>1000</v>
      </c>
      <c r="F196" s="35">
        <f t="shared" si="7"/>
        <v>130000</v>
      </c>
      <c r="K196" s="97">
        <v>40828</v>
      </c>
      <c r="L196" s="32">
        <v>130</v>
      </c>
      <c r="M196" s="32">
        <v>1000</v>
      </c>
      <c r="N196" s="35"/>
    </row>
    <row r="197" spans="3:14" ht="12.75" customHeight="1" x14ac:dyDescent="0.2">
      <c r="C197" s="101">
        <v>40829</v>
      </c>
      <c r="D197" s="32"/>
      <c r="E197" s="32">
        <v>1000</v>
      </c>
      <c r="F197" s="35" t="str">
        <f t="shared" si="7"/>
        <v/>
      </c>
      <c r="K197" s="101">
        <v>40829</v>
      </c>
      <c r="L197" s="32"/>
      <c r="M197" s="32">
        <v>1000</v>
      </c>
      <c r="N197" s="35"/>
    </row>
    <row r="198" spans="3:14" ht="12.75" customHeight="1" x14ac:dyDescent="0.2">
      <c r="C198" s="101">
        <v>40830</v>
      </c>
      <c r="D198" s="32"/>
      <c r="E198" s="32">
        <v>1000</v>
      </c>
      <c r="F198" s="35" t="str">
        <f t="shared" si="7"/>
        <v/>
      </c>
      <c r="K198" s="101">
        <v>40830</v>
      </c>
      <c r="L198" s="32"/>
      <c r="M198" s="32">
        <v>1000</v>
      </c>
      <c r="N198" s="35"/>
    </row>
    <row r="199" spans="3:14" ht="12.75" customHeight="1" x14ac:dyDescent="0.2">
      <c r="C199" s="101">
        <v>40831</v>
      </c>
      <c r="D199" s="32"/>
      <c r="E199" s="32">
        <v>1000</v>
      </c>
      <c r="F199" s="35" t="str">
        <f t="shared" si="7"/>
        <v/>
      </c>
      <c r="K199" s="101">
        <v>40831</v>
      </c>
      <c r="L199" s="32"/>
      <c r="M199" s="32">
        <v>1000</v>
      </c>
      <c r="N199" s="35"/>
    </row>
    <row r="200" spans="3:14" ht="12.75" customHeight="1" x14ac:dyDescent="0.2">
      <c r="C200" s="99" t="s">
        <v>94</v>
      </c>
      <c r="D200" s="32">
        <f>SUM(D194:D199)</f>
        <v>340</v>
      </c>
      <c r="E200" s="32">
        <f>SUM(E194:E199)</f>
        <v>6000</v>
      </c>
      <c r="F200" s="32">
        <f>SUM(F194:F199)</f>
        <v>340000</v>
      </c>
      <c r="K200" s="99" t="s">
        <v>94</v>
      </c>
      <c r="L200" s="32">
        <f>SUM(L194:L199)</f>
        <v>340</v>
      </c>
      <c r="M200" s="32">
        <f>SUM(M194:M199)</f>
        <v>6000</v>
      </c>
      <c r="N200" s="32"/>
    </row>
  </sheetData>
  <mergeCells count="22">
    <mergeCell ref="C169:C170"/>
    <mergeCell ref="K66:M66"/>
    <mergeCell ref="K130:M130"/>
    <mergeCell ref="D169:E169"/>
    <mergeCell ref="D170:E170"/>
    <mergeCell ref="F169:N170"/>
    <mergeCell ref="F76:I76"/>
    <mergeCell ref="F77:I77"/>
    <mergeCell ref="K97:L97"/>
    <mergeCell ref="F78:I78"/>
    <mergeCell ref="E82:K86"/>
    <mergeCell ref="B147:O149"/>
    <mergeCell ref="B113:O115"/>
    <mergeCell ref="C36:G37"/>
    <mergeCell ref="C82:D86"/>
    <mergeCell ref="C55:D55"/>
    <mergeCell ref="D76:E76"/>
    <mergeCell ref="A1:G1"/>
    <mergeCell ref="C9:N9"/>
    <mergeCell ref="K46:N46"/>
    <mergeCell ref="D14:D18"/>
    <mergeCell ref="B21:D21"/>
  </mergeCells>
  <phoneticPr fontId="2"/>
  <conditionalFormatting sqref="F100:F107">
    <cfRule type="cellIs" dxfId="1" priority="1" stopIfTrue="1" operator="greaterThanOrEqual">
      <formula>150</formula>
    </cfRule>
    <cfRule type="cellIs" dxfId="0" priority="2" stopIfTrue="1" operator="lessThan">
      <formula>150</formula>
    </cfRule>
  </conditionalFormatting>
  <pageMargins left="0.78700000000000003" right="0.78700000000000003" top="0.98399999999999999" bottom="0.98399999999999999" header="0.51200000000000001" footer="0.51200000000000001"/>
  <pageSetup paperSize="9" scale="17" orientation="landscape" verticalDpi="0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根津良彦</dc:creator>
  <cp:lastModifiedBy>西嵜浩則</cp:lastModifiedBy>
  <cp:lastPrinted>2020-03-09T02:53:35Z</cp:lastPrinted>
  <dcterms:created xsi:type="dcterms:W3CDTF">2004-02-19T05:37:16Z</dcterms:created>
  <dcterms:modified xsi:type="dcterms:W3CDTF">2025-04-22T08:21:39Z</dcterms:modified>
</cp:coreProperties>
</file>