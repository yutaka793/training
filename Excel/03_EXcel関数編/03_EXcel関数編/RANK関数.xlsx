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yoiku5\Desktop\課題集\Excel\オフィス研修\excel練習課題\基礎関数\関数-RANK\"/>
    </mc:Choice>
  </mc:AlternateContent>
  <bookViews>
    <workbookView xWindow="480" yWindow="36" windowWidth="13872" windowHeight="8220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F124" i="1" l="1"/>
  <c r="F125" i="1"/>
  <c r="F126" i="1"/>
  <c r="F127" i="1"/>
  <c r="F128" i="1"/>
  <c r="F129" i="1"/>
  <c r="F130" i="1"/>
  <c r="D103" i="1"/>
  <c r="D104" i="1"/>
  <c r="D105" i="1"/>
  <c r="D106" i="1"/>
  <c r="D107" i="1"/>
  <c r="D108" i="1"/>
  <c r="D109" i="1"/>
  <c r="C103" i="1"/>
  <c r="C104" i="1"/>
  <c r="C105" i="1"/>
  <c r="C106" i="1"/>
  <c r="C107" i="1"/>
  <c r="C108" i="1"/>
  <c r="C109" i="1"/>
  <c r="F123" i="1" l="1"/>
  <c r="D102" i="1"/>
  <c r="C102" i="1"/>
  <c r="M59" i="1" l="1"/>
  <c r="M60" i="1"/>
  <c r="M61" i="1"/>
  <c r="M62" i="1"/>
  <c r="M63" i="1"/>
  <c r="M64" i="1"/>
  <c r="M65" i="1"/>
  <c r="M66" i="1"/>
  <c r="G142" i="1"/>
  <c r="G139" i="1"/>
  <c r="C131" i="1"/>
  <c r="E123" i="1"/>
  <c r="E124" i="1"/>
  <c r="E125" i="1"/>
  <c r="E126" i="1"/>
  <c r="E127" i="1"/>
  <c r="E128" i="1"/>
  <c r="E129" i="1"/>
  <c r="E130" i="1"/>
  <c r="D131" i="1"/>
  <c r="G129" i="1" l="1"/>
  <c r="G127" i="1"/>
  <c r="G125" i="1"/>
  <c r="G123" i="1"/>
  <c r="E131" i="1"/>
  <c r="G130" i="1"/>
  <c r="G128" i="1"/>
  <c r="G126" i="1"/>
  <c r="G124" i="1"/>
</calcChain>
</file>

<file path=xl/comments1.xml><?xml version="1.0" encoding="utf-8"?>
<comments xmlns="http://schemas.openxmlformats.org/spreadsheetml/2006/main">
  <authors>
    <author>根津良彦</author>
  </authors>
  <commentList>
    <comment ref="M59" authorId="0" shapeId="0">
      <text>
        <r>
          <rPr>
            <b/>
            <sz val="12"/>
            <color indexed="81"/>
            <rFont val="ＭＳ Ｐゴシック"/>
            <family val="3"/>
            <charset val="128"/>
          </rPr>
          <t>=RANK.EQ(K54,$K$54:$K$61)</t>
        </r>
        <r>
          <rPr>
            <sz val="11"/>
            <color indexed="81"/>
            <rFont val="ＭＳ Ｐゴシック"/>
            <family val="3"/>
            <charset val="128"/>
          </rPr>
          <t xml:space="preserve">
</t>
        </r>
        <r>
          <rPr>
            <b/>
            <sz val="10"/>
            <color indexed="12"/>
            <rFont val="ＭＳ Ｐゴシック"/>
            <family val="3"/>
            <charset val="128"/>
          </rPr>
          <t>右ボタン</t>
        </r>
        <r>
          <rPr>
            <sz val="10"/>
            <color indexed="81"/>
            <rFont val="ＭＳ Ｐゴシック"/>
            <family val="3"/>
            <charset val="128"/>
          </rPr>
          <t>で下にドラッグして「</t>
        </r>
        <r>
          <rPr>
            <b/>
            <sz val="10"/>
            <color indexed="81"/>
            <rFont val="ＭＳ Ｐゴシック"/>
            <family val="3"/>
            <charset val="128"/>
          </rPr>
          <t>書式なしコピー</t>
        </r>
        <r>
          <rPr>
            <sz val="10"/>
            <color indexed="81"/>
            <rFont val="ＭＳ Ｐゴシック"/>
            <family val="3"/>
            <charset val="128"/>
          </rPr>
          <t>」をします。</t>
        </r>
        <r>
          <rPr>
            <sz val="11"/>
            <color indexed="81"/>
            <rFont val="ＭＳ Ｐゴシック"/>
            <family val="3"/>
            <charset val="128"/>
          </rPr>
          <t xml:space="preserve">
</t>
        </r>
        <r>
          <rPr>
            <sz val="10"/>
            <color indexed="81"/>
            <rFont val="ＭＳ Ｐゴシック"/>
            <family val="3"/>
            <charset val="128"/>
          </rPr>
          <t>《考え方》
このセル位置で、指定する数値は、指定した範囲の中で、大きい順で何位か？
算出しろ。</t>
        </r>
        <r>
          <rPr>
            <sz val="11"/>
            <color indexed="81"/>
            <rFont val="ＭＳ Ｐゴシック"/>
            <family val="3"/>
            <charset val="128"/>
          </rPr>
          <t xml:space="preserve">
※｛</t>
        </r>
        <r>
          <rPr>
            <sz val="11"/>
            <color indexed="12"/>
            <rFont val="ＭＳ Ｐゴシック"/>
            <family val="3"/>
            <charset val="128"/>
          </rPr>
          <t>範囲</t>
        </r>
        <r>
          <rPr>
            <sz val="11"/>
            <color indexed="81"/>
            <rFont val="ＭＳ Ｐゴシック"/>
            <family val="3"/>
            <charset val="128"/>
          </rPr>
          <t>｝を</t>
        </r>
        <r>
          <rPr>
            <b/>
            <sz val="11"/>
            <color indexed="81"/>
            <rFont val="ＭＳ Ｐゴシック"/>
            <family val="3"/>
            <charset val="128"/>
          </rPr>
          <t>絶対参照</t>
        </r>
        <r>
          <rPr>
            <sz val="11"/>
            <color indexed="81"/>
            <rFont val="ＭＳ Ｐゴシック"/>
            <family val="3"/>
            <charset val="128"/>
          </rPr>
          <t>にする事
　　を忘れずに。　</t>
        </r>
      </text>
    </comment>
    <comment ref="O95" authorId="0" shapeId="0">
      <text>
        <r>
          <rPr>
            <sz val="14"/>
            <color indexed="81"/>
            <rFont val="ＭＳ Ｐゴシック"/>
            <family val="3"/>
            <charset val="128"/>
          </rPr>
          <t>「書式も設定」の｛</t>
        </r>
        <r>
          <rPr>
            <b/>
            <sz val="14"/>
            <color indexed="81"/>
            <rFont val="ＭＳ Ｐゴシック"/>
            <family val="3"/>
            <charset val="128"/>
          </rPr>
          <t>ユーザー定義</t>
        </r>
        <r>
          <rPr>
            <sz val="14"/>
            <color indexed="81"/>
            <rFont val="ＭＳ Ｐゴシック"/>
            <family val="3"/>
            <charset val="128"/>
          </rPr>
          <t>｝で、「</t>
        </r>
        <r>
          <rPr>
            <b/>
            <sz val="14"/>
            <color indexed="81"/>
            <rFont val="ＭＳ Ｐゴシック"/>
            <family val="3"/>
            <charset val="128"/>
          </rPr>
          <t>Kg</t>
        </r>
        <r>
          <rPr>
            <sz val="14"/>
            <color indexed="81"/>
            <rFont val="ＭＳ Ｐゴシック"/>
            <family val="3"/>
            <charset val="128"/>
          </rPr>
          <t>」の単位を設定しましょう。</t>
        </r>
      </text>
    </comment>
    <comment ref="C102" authorId="0" shapeId="0">
      <text>
        <r>
          <rPr>
            <b/>
            <sz val="11"/>
            <color indexed="81"/>
            <rFont val="ＭＳ Ｐゴシック"/>
            <family val="3"/>
            <charset val="128"/>
          </rPr>
          <t>=</t>
        </r>
        <r>
          <rPr>
            <b/>
            <sz val="11"/>
            <color indexed="10"/>
            <rFont val="ＭＳ Ｐゴシック"/>
            <family val="3"/>
            <charset val="128"/>
          </rPr>
          <t>RANK.EQ</t>
        </r>
        <r>
          <rPr>
            <b/>
            <sz val="11"/>
            <color indexed="81"/>
            <rFont val="ＭＳ Ｐゴシック"/>
            <family val="3"/>
            <charset val="128"/>
          </rPr>
          <t>(G97,$G$97:$G$104,0)</t>
        </r>
        <r>
          <rPr>
            <sz val="10"/>
            <color indexed="81"/>
            <rFont val="ＭＳ Ｐゴシック"/>
            <family val="3"/>
            <charset val="128"/>
          </rPr>
          <t xml:space="preserve">
「書式も設定」の｛ユーザー定義｝
で、「位」の単位を設定しましょう。</t>
        </r>
      </text>
    </comment>
    <comment ref="D102" authorId="0" shapeId="0">
      <text>
        <r>
          <rPr>
            <b/>
            <sz val="11"/>
            <color indexed="81"/>
            <rFont val="ＭＳ Ｐゴシック"/>
            <family val="3"/>
            <charset val="128"/>
          </rPr>
          <t>=</t>
        </r>
        <r>
          <rPr>
            <b/>
            <sz val="11"/>
            <color indexed="10"/>
            <rFont val="ＭＳ Ｐゴシック"/>
            <family val="3"/>
            <charset val="128"/>
          </rPr>
          <t>RANK.EQ</t>
        </r>
        <r>
          <rPr>
            <b/>
            <sz val="11"/>
            <color indexed="81"/>
            <rFont val="ＭＳ Ｐゴシック"/>
            <family val="3"/>
            <charset val="128"/>
          </rPr>
          <t>(F97,$F$97:$F$104,1)</t>
        </r>
        <r>
          <rPr>
            <sz val="11"/>
            <color indexed="81"/>
            <rFont val="ＭＳ Ｐゴシック"/>
            <family val="3"/>
            <charset val="128"/>
          </rPr>
          <t xml:space="preserve">
「年齢の高い順」は生年月日が早い順
ですので、「順序」＝「１」となります。
日付は数値データです。</t>
        </r>
      </text>
    </comment>
    <comment ref="G102" authorId="0" shapeId="0">
      <text>
        <r>
          <rPr>
            <sz val="14"/>
            <color indexed="81"/>
            <rFont val="ＭＳ Ｐゴシック"/>
            <family val="3"/>
            <charset val="128"/>
          </rPr>
          <t>「書式も設定」の｛</t>
        </r>
        <r>
          <rPr>
            <b/>
            <sz val="14"/>
            <color indexed="81"/>
            <rFont val="ＭＳ Ｐゴシック"/>
            <family val="3"/>
            <charset val="128"/>
          </rPr>
          <t>ユーザー定義</t>
        </r>
        <r>
          <rPr>
            <sz val="14"/>
            <color indexed="81"/>
            <rFont val="ＭＳ Ｐゴシック"/>
            <family val="3"/>
            <charset val="128"/>
          </rPr>
          <t>｝で、「</t>
        </r>
        <r>
          <rPr>
            <b/>
            <sz val="14"/>
            <color indexed="81"/>
            <rFont val="ＭＳ Ｐゴシック"/>
            <family val="3"/>
            <charset val="128"/>
          </rPr>
          <t>Kg</t>
        </r>
        <r>
          <rPr>
            <sz val="14"/>
            <color indexed="81"/>
            <rFont val="ＭＳ Ｐゴシック"/>
            <family val="3"/>
            <charset val="128"/>
          </rPr>
          <t>」の単位を設定しましょう。</t>
        </r>
      </text>
    </comment>
    <comment ref="E123" authorId="0" shapeId="0">
      <text>
        <r>
          <rPr>
            <b/>
            <sz val="11"/>
            <color indexed="81"/>
            <rFont val="ＭＳ Ｐゴシック"/>
            <family val="3"/>
            <charset val="128"/>
          </rPr>
          <t>=</t>
        </r>
        <r>
          <rPr>
            <b/>
            <sz val="11"/>
            <color indexed="10"/>
            <rFont val="ＭＳ Ｐゴシック"/>
            <family val="3"/>
            <charset val="128"/>
          </rPr>
          <t>SUM</t>
        </r>
        <r>
          <rPr>
            <b/>
            <sz val="11"/>
            <color indexed="81"/>
            <rFont val="ＭＳ Ｐゴシック"/>
            <family val="3"/>
            <charset val="128"/>
          </rPr>
          <t>(C118:D118)</t>
        </r>
      </text>
    </comment>
    <comment ref="F123" authorId="0" shapeId="0">
      <text>
        <r>
          <rPr>
            <b/>
            <sz val="11"/>
            <color indexed="81"/>
            <rFont val="ＭＳ Ｐゴシック"/>
            <family val="3"/>
            <charset val="128"/>
          </rPr>
          <t>=</t>
        </r>
        <r>
          <rPr>
            <b/>
            <sz val="11"/>
            <color indexed="10"/>
            <rFont val="ＭＳ Ｐゴシック"/>
            <family val="3"/>
            <charset val="128"/>
          </rPr>
          <t>RANK.EQ</t>
        </r>
        <r>
          <rPr>
            <b/>
            <sz val="11"/>
            <color indexed="81"/>
            <rFont val="ＭＳ Ｐゴシック"/>
            <family val="3"/>
            <charset val="128"/>
          </rPr>
          <t>(D118,$D$118:$D$125,0)</t>
        </r>
      </text>
    </comment>
    <comment ref="G123" authorId="0" shapeId="0">
      <text>
        <r>
          <rPr>
            <b/>
            <sz val="11"/>
            <color indexed="81"/>
            <rFont val="ＭＳ Ｐゴシック"/>
            <family val="3"/>
            <charset val="128"/>
          </rPr>
          <t>=</t>
        </r>
        <r>
          <rPr>
            <b/>
            <sz val="11"/>
            <color indexed="10"/>
            <rFont val="ＭＳ Ｐゴシック"/>
            <family val="3"/>
            <charset val="128"/>
          </rPr>
          <t>RANK.EQ</t>
        </r>
        <r>
          <rPr>
            <b/>
            <sz val="11"/>
            <color indexed="81"/>
            <rFont val="ＭＳ Ｐゴシック"/>
            <family val="3"/>
            <charset val="128"/>
          </rPr>
          <t>(E118,$E$118:$E$125,0)</t>
        </r>
      </text>
    </comment>
    <comment ref="C131" authorId="0" shapeId="0">
      <text>
        <r>
          <rPr>
            <b/>
            <sz val="11"/>
            <color indexed="81"/>
            <rFont val="ＭＳ Ｐゴシック"/>
            <family val="3"/>
            <charset val="128"/>
          </rPr>
          <t>=AVERAGE(C118:C125)</t>
        </r>
      </text>
    </comment>
    <comment ref="G139" authorId="0" shapeId="0">
      <text>
        <r>
          <rPr>
            <b/>
            <sz val="11"/>
            <color indexed="81"/>
            <rFont val="ＭＳ Ｐゴシック"/>
            <family val="3"/>
            <charset val="128"/>
          </rPr>
          <t>=</t>
        </r>
        <r>
          <rPr>
            <b/>
            <sz val="11"/>
            <color indexed="10"/>
            <rFont val="ＭＳ Ｐゴシック"/>
            <family val="3"/>
            <charset val="128"/>
          </rPr>
          <t>COUNTIF</t>
        </r>
        <r>
          <rPr>
            <b/>
            <sz val="11"/>
            <color indexed="81"/>
            <rFont val="ＭＳ Ｐゴシック"/>
            <family val="3"/>
            <charset val="128"/>
          </rPr>
          <t>(C118:D125,"</t>
        </r>
        <r>
          <rPr>
            <b/>
            <sz val="11"/>
            <color indexed="10"/>
            <rFont val="ＭＳ Ｐゴシック"/>
            <family val="3"/>
            <charset val="128"/>
          </rPr>
          <t>&gt;=80</t>
        </r>
        <r>
          <rPr>
            <b/>
            <sz val="11"/>
            <color indexed="81"/>
            <rFont val="ＭＳ Ｐゴシック"/>
            <family val="3"/>
            <charset val="128"/>
          </rPr>
          <t>")</t>
        </r>
      </text>
    </comment>
    <comment ref="G142" authorId="0" shapeId="0">
      <text>
        <r>
          <rPr>
            <sz val="11"/>
            <color indexed="81"/>
            <rFont val="ＭＳ Ｐゴシック"/>
            <family val="3"/>
            <charset val="128"/>
          </rPr>
          <t>=</t>
        </r>
        <r>
          <rPr>
            <b/>
            <sz val="11"/>
            <color indexed="10"/>
            <rFont val="ＭＳ Ｐゴシック"/>
            <family val="3"/>
            <charset val="128"/>
          </rPr>
          <t>SUMIF</t>
        </r>
        <r>
          <rPr>
            <sz val="11"/>
            <color indexed="81"/>
            <rFont val="ＭＳ Ｐゴシック"/>
            <family val="3"/>
            <charset val="128"/>
          </rPr>
          <t>(C118:D125,"</t>
        </r>
        <r>
          <rPr>
            <b/>
            <sz val="11"/>
            <color indexed="10"/>
            <rFont val="ＭＳ Ｐゴシック"/>
            <family val="3"/>
            <charset val="128"/>
          </rPr>
          <t>&gt;=90</t>
        </r>
        <r>
          <rPr>
            <sz val="11"/>
            <color indexed="81"/>
            <rFont val="ＭＳ Ｐゴシック"/>
            <family val="3"/>
            <charset val="128"/>
          </rPr>
          <t>",C118:D125)</t>
        </r>
      </text>
    </comment>
  </commentList>
</comments>
</file>

<file path=xl/sharedStrings.xml><?xml version="1.0" encoding="utf-8"?>
<sst xmlns="http://schemas.openxmlformats.org/spreadsheetml/2006/main" count="140" uniqueCount="83">
  <si>
    <t>左のように作成してみましょう</t>
  </si>
  <si>
    <t>関数とは</t>
    <rPh sb="0" eb="2">
      <t>カンスウ</t>
    </rPh>
    <phoneticPr fontId="2"/>
  </si>
  <si>
    <t>様々な計算を簡単にできるように、命令する道具です。</t>
    <rPh sb="0" eb="2">
      <t>サマザマ</t>
    </rPh>
    <rPh sb="3" eb="5">
      <t>ケイサン</t>
    </rPh>
    <rPh sb="16" eb="18">
      <t>メイレイ</t>
    </rPh>
    <rPh sb="20" eb="22">
      <t>ドウグ</t>
    </rPh>
    <phoneticPr fontId="2"/>
  </si>
  <si>
    <t>「関数」というと｛三角関数｝｛二次関数｝・・・などと数学的な感じで腰が引けてそまいそうですね。</t>
    <rPh sb="1" eb="3">
      <t>カンスウ</t>
    </rPh>
    <rPh sb="9" eb="11">
      <t>サンカク</t>
    </rPh>
    <rPh sb="11" eb="13">
      <t>カンスウ</t>
    </rPh>
    <rPh sb="15" eb="17">
      <t>ニジ</t>
    </rPh>
    <rPh sb="17" eb="19">
      <t>カンスウ</t>
    </rPh>
    <rPh sb="26" eb="28">
      <t>スウガク</t>
    </rPh>
    <rPh sb="28" eb="29">
      <t>テキ</t>
    </rPh>
    <rPh sb="30" eb="31">
      <t>カン</t>
    </rPh>
    <rPh sb="33" eb="34">
      <t>コシ</t>
    </rPh>
    <rPh sb="35" eb="36">
      <t>ヒ</t>
    </rPh>
    <phoneticPr fontId="2"/>
  </si>
  <si>
    <t>まず、操作の流れを覚えましょう</t>
    <rPh sb="3" eb="5">
      <t>ソウサ</t>
    </rPh>
    <rPh sb="6" eb="7">
      <t>ナガ</t>
    </rPh>
    <rPh sb="9" eb="10">
      <t>オボ</t>
    </rPh>
    <phoneticPr fontId="2"/>
  </si>
  <si>
    <r>
      <t>そんなに難しい世界ではなく、とても</t>
    </r>
    <r>
      <rPr>
        <sz val="11"/>
        <color indexed="14"/>
        <rFont val="ＭＳ Ｐゴシック"/>
        <family val="3"/>
        <charset val="128"/>
      </rPr>
      <t>楽に計算結果などを導き出す大変に便利な操作です。</t>
    </r>
    <rPh sb="4" eb="5">
      <t>ムズカ</t>
    </rPh>
    <rPh sb="7" eb="9">
      <t>セカイ</t>
    </rPh>
    <rPh sb="17" eb="18">
      <t>ラク</t>
    </rPh>
    <rPh sb="19" eb="21">
      <t>ケイサン</t>
    </rPh>
    <rPh sb="21" eb="23">
      <t>ケッカ</t>
    </rPh>
    <rPh sb="26" eb="27">
      <t>ミチビ</t>
    </rPh>
    <rPh sb="28" eb="29">
      <t>ダ</t>
    </rPh>
    <rPh sb="30" eb="32">
      <t>タイヘン</t>
    </rPh>
    <rPh sb="33" eb="35">
      <t>ベンリ</t>
    </rPh>
    <rPh sb="36" eb="38">
      <t>ソウサ</t>
    </rPh>
    <phoneticPr fontId="2"/>
  </si>
  <si>
    <t>「関数」の操作を覚えると、エクセルにはまるかも知れません。</t>
    <rPh sb="1" eb="3">
      <t>カンスウ</t>
    </rPh>
    <rPh sb="5" eb="7">
      <t>ソウサ</t>
    </rPh>
    <rPh sb="8" eb="9">
      <t>オボ</t>
    </rPh>
    <rPh sb="23" eb="24">
      <t>シ</t>
    </rPh>
    <phoneticPr fontId="2"/>
  </si>
  <si>
    <t>１、「Σ」ボタンの右横にある▼をクリックして</t>
    <rPh sb="9" eb="11">
      <t>ミギヨコ</t>
    </rPh>
    <phoneticPr fontId="2"/>
  </si>
  <si>
    <r>
      <t>　　｛</t>
    </r>
    <r>
      <rPr>
        <sz val="11"/>
        <color indexed="12"/>
        <rFont val="ＭＳ Ｐゴシック"/>
        <family val="3"/>
        <charset val="128"/>
      </rPr>
      <t>その他の関数</t>
    </r>
    <r>
      <rPr>
        <sz val="11"/>
        <rFont val="ＭＳ Ｐゴシック"/>
        <family val="3"/>
        <charset val="128"/>
      </rPr>
      <t>」を選択する。</t>
    </r>
    <rPh sb="5" eb="6">
      <t>タ</t>
    </rPh>
    <rPh sb="7" eb="9">
      <t>カンスウ</t>
    </rPh>
    <rPh sb="11" eb="13">
      <t>センタク</t>
    </rPh>
    <phoneticPr fontId="2"/>
  </si>
  <si>
    <t>③何れかの方法を選択すると、右にある画面が表示されます。</t>
    <rPh sb="1" eb="2">
      <t>イズ</t>
    </rPh>
    <rPh sb="5" eb="7">
      <t>ホウホウ</t>
    </rPh>
    <rPh sb="8" eb="10">
      <t>センタク</t>
    </rPh>
    <rPh sb="14" eb="15">
      <t>ミギ</t>
    </rPh>
    <rPh sb="18" eb="20">
      <t>ガメン</t>
    </rPh>
    <rPh sb="21" eb="23">
      <t>ヒョウジ</t>
    </rPh>
    <phoneticPr fontId="2"/>
  </si>
  <si>
    <t>⑦「OK」で確定です。</t>
    <rPh sb="6" eb="8">
      <t>カクテイ</t>
    </rPh>
    <phoneticPr fontId="2"/>
  </si>
  <si>
    <t>合計</t>
    <rPh sb="0" eb="2">
      <t>ゴウケイ</t>
    </rPh>
    <phoneticPr fontId="2"/>
  </si>
  <si>
    <t>様々な関数を利用してみましょう。</t>
    <rPh sb="0" eb="2">
      <t>サマザマ</t>
    </rPh>
    <rPh sb="3" eb="5">
      <t>カンスウ</t>
    </rPh>
    <rPh sb="6" eb="8">
      <t>リヨウ</t>
    </rPh>
    <phoneticPr fontId="2"/>
  </si>
  <si>
    <t>「関数」の使い方</t>
    <rPh sb="1" eb="3">
      <t>カンスウ</t>
    </rPh>
    <rPh sb="5" eb="6">
      <t>ツカ</t>
    </rPh>
    <rPh sb="7" eb="8">
      <t>カタ</t>
    </rPh>
    <phoneticPr fontId="2"/>
  </si>
  <si>
    <t>①計算結果を表示するセルを選択します。</t>
    <rPh sb="1" eb="3">
      <t>ケイサン</t>
    </rPh>
    <rPh sb="3" eb="5">
      <t>ケッカ</t>
    </rPh>
    <rPh sb="6" eb="8">
      <t>ヒョウジ</t>
    </rPh>
    <rPh sb="13" eb="15">
      <t>センタク</t>
    </rPh>
    <phoneticPr fontId="2"/>
  </si>
  <si>
    <t>⑥表示された「関数の引数」画面で、必要事項を指定。</t>
    <rPh sb="1" eb="3">
      <t>ヒョウジ</t>
    </rPh>
    <rPh sb="7" eb="9">
      <t>カンスウ</t>
    </rPh>
    <rPh sb="10" eb="12">
      <t>ヒキスウ</t>
    </rPh>
    <rPh sb="13" eb="15">
      <t>ガメン</t>
    </rPh>
    <rPh sb="17" eb="19">
      <t>ヒツヨウ</t>
    </rPh>
    <rPh sb="19" eb="21">
      <t>ジコウ</t>
    </rPh>
    <rPh sb="22" eb="24">
      <t>シテイ</t>
    </rPh>
    <phoneticPr fontId="2"/>
  </si>
  <si>
    <t>　　（関数の種類によって、指定の方法が異なります）</t>
    <rPh sb="3" eb="5">
      <t>カンスウ</t>
    </rPh>
    <rPh sb="6" eb="8">
      <t>シュルイ</t>
    </rPh>
    <rPh sb="13" eb="15">
      <t>シテイ</t>
    </rPh>
    <rPh sb="16" eb="18">
      <t>ホウホウ</t>
    </rPh>
    <rPh sb="19" eb="20">
      <t>コト</t>
    </rPh>
    <phoneticPr fontId="2"/>
  </si>
  <si>
    <r>
      <t>④最初に使う関数を</t>
    </r>
    <r>
      <rPr>
        <sz val="11"/>
        <color indexed="10"/>
        <rFont val="ＭＳ Ｐゴシック"/>
        <family val="3"/>
        <charset val="128"/>
      </rPr>
      <t>（１）</t>
    </r>
    <r>
      <rPr>
        <sz val="11"/>
        <color indexed="8"/>
        <rFont val="ＭＳ Ｐゴシック"/>
        <family val="3"/>
        <charset val="128"/>
      </rPr>
      <t>「</t>
    </r>
    <r>
      <rPr>
        <sz val="11"/>
        <rFont val="ＭＳ Ｐゴシック"/>
        <family val="3"/>
        <charset val="128"/>
      </rPr>
      <t>▼」をクリックして選択します。</t>
    </r>
    <rPh sb="1" eb="3">
      <t>サイショ</t>
    </rPh>
    <rPh sb="4" eb="5">
      <t>ツカ</t>
    </rPh>
    <rPh sb="6" eb="8">
      <t>カンスウ</t>
    </rPh>
    <rPh sb="22" eb="24">
      <t>センタク</t>
    </rPh>
    <phoneticPr fontId="2"/>
  </si>
  <si>
    <t>①計算結果を表示するセルをクリックで選択</t>
    <rPh sb="1" eb="3">
      <t>ケイサン</t>
    </rPh>
    <rPh sb="3" eb="5">
      <t>ケッカ</t>
    </rPh>
    <rPh sb="6" eb="8">
      <t>ヒョウジ</t>
    </rPh>
    <rPh sb="18" eb="20">
      <t>センタク</t>
    </rPh>
    <phoneticPr fontId="2"/>
  </si>
  <si>
    <t>②「関数の挿入」画面を表示→　　　をクリック。</t>
    <rPh sb="2" eb="4">
      <t>カンスウ</t>
    </rPh>
    <rPh sb="5" eb="7">
      <t>ソウニュウ</t>
    </rPh>
    <rPh sb="8" eb="10">
      <t>ガメン</t>
    </rPh>
    <rPh sb="11" eb="13">
      <t>ヒョウジ</t>
    </rPh>
    <phoneticPr fontId="2"/>
  </si>
  <si>
    <t>⑥「OK」で確定です。</t>
    <rPh sb="6" eb="8">
      <t>カクテイ</t>
    </rPh>
    <phoneticPr fontId="2"/>
  </si>
  <si>
    <t>氏名</t>
    <rPh sb="0" eb="2">
      <t>シメイ</t>
    </rPh>
    <phoneticPr fontId="2"/>
  </si>
  <si>
    <t>誕生日</t>
    <rPh sb="0" eb="3">
      <t>タンジョウビ</t>
    </rPh>
    <phoneticPr fontId="2"/>
  </si>
  <si>
    <t>販売額</t>
    <rPh sb="0" eb="2">
      <t>ハンバイ</t>
    </rPh>
    <rPh sb="2" eb="3">
      <t>ガク</t>
    </rPh>
    <phoneticPr fontId="2"/>
  </si>
  <si>
    <t>吉田</t>
    <rPh sb="0" eb="2">
      <t>ヨシダ</t>
    </rPh>
    <phoneticPr fontId="2"/>
  </si>
  <si>
    <t>原</t>
    <rPh sb="0" eb="1">
      <t>ハラ</t>
    </rPh>
    <phoneticPr fontId="2"/>
  </si>
  <si>
    <t>佐藤</t>
    <rPh sb="0" eb="2">
      <t>サトウ</t>
    </rPh>
    <phoneticPr fontId="2"/>
  </si>
  <si>
    <t>犬養</t>
    <rPh sb="0" eb="1">
      <t>イヌ</t>
    </rPh>
    <rPh sb="1" eb="2">
      <t>ヤシナ</t>
    </rPh>
    <phoneticPr fontId="2"/>
  </si>
  <si>
    <t>岸</t>
    <rPh sb="0" eb="1">
      <t>キシ</t>
    </rPh>
    <phoneticPr fontId="2"/>
  </si>
  <si>
    <t>田中</t>
    <rPh sb="0" eb="2">
      <t>タナカ</t>
    </rPh>
    <phoneticPr fontId="2"/>
  </si>
  <si>
    <t>片山</t>
    <rPh sb="0" eb="2">
      <t>カタヤマ</t>
    </rPh>
    <phoneticPr fontId="2"/>
  </si>
  <si>
    <t>大平</t>
    <rPh sb="0" eb="2">
      <t>オオヒラ</t>
    </rPh>
    <phoneticPr fontId="2"/>
  </si>
  <si>
    <t>村山</t>
    <rPh sb="0" eb="2">
      <t>ムラヤマ</t>
    </rPh>
    <phoneticPr fontId="2"/>
  </si>
  <si>
    <t>例えば</t>
    <rPh sb="0" eb="1">
      <t>タト</t>
    </rPh>
    <phoneticPr fontId="2"/>
  </si>
  <si>
    <t>方法</t>
    <rPh sb="0" eb="2">
      <t>ホウホウ</t>
    </rPh>
    <phoneticPr fontId="2"/>
  </si>
  <si>
    <t>平均</t>
    <rPh sb="0" eb="2">
      <t>ヘイキン</t>
    </rPh>
    <phoneticPr fontId="2"/>
  </si>
  <si>
    <t>絶対参照</t>
    <rPh sb="0" eb="2">
      <t>ゼッタイ</t>
    </rPh>
    <rPh sb="2" eb="4">
      <t>サンショウ</t>
    </rPh>
    <phoneticPr fontId="2"/>
  </si>
  <si>
    <r>
      <t>計算式を設定する際
　　　　　→</t>
    </r>
    <r>
      <rPr>
        <b/>
        <sz val="12"/>
        <rFont val="ＭＳ Ｐゴシック"/>
        <family val="3"/>
        <charset val="128"/>
      </rPr>
      <t>セルを選択後に</t>
    </r>
    <r>
      <rPr>
        <b/>
        <sz val="12"/>
        <color indexed="10"/>
        <rFont val="ＭＳ Ｐゴシック"/>
        <family val="3"/>
        <charset val="128"/>
      </rPr>
      <t>F4キーを押す</t>
    </r>
    <r>
      <rPr>
        <sz val="11"/>
        <rFont val="ＭＳ Ｐゴシック"/>
        <family val="3"/>
        <charset val="128"/>
      </rPr>
      <t xml:space="preserve">
そのセルの位置、セルの範囲を固定する事で
計算式を効率良く、コピーできます。</t>
    </r>
    <rPh sb="0" eb="2">
      <t>ケイサン</t>
    </rPh>
    <rPh sb="2" eb="3">
      <t>シキ</t>
    </rPh>
    <rPh sb="4" eb="6">
      <t>セッテイ</t>
    </rPh>
    <rPh sb="8" eb="9">
      <t>サイ</t>
    </rPh>
    <rPh sb="19" eb="21">
      <t>センタク</t>
    </rPh>
    <rPh sb="21" eb="22">
      <t>ゴ</t>
    </rPh>
    <rPh sb="28" eb="29">
      <t>オ</t>
    </rPh>
    <rPh sb="36" eb="38">
      <t>イチ</t>
    </rPh>
    <rPh sb="42" eb="44">
      <t>ハンイ</t>
    </rPh>
    <rPh sb="45" eb="47">
      <t>コテイ</t>
    </rPh>
    <rPh sb="49" eb="50">
      <t>コト</t>
    </rPh>
    <rPh sb="52" eb="54">
      <t>ケイサン</t>
    </rPh>
    <rPh sb="54" eb="55">
      <t>シキ</t>
    </rPh>
    <rPh sb="56" eb="58">
      <t>コウリツ</t>
    </rPh>
    <rPh sb="58" eb="59">
      <t>ヨ</t>
    </rPh>
    <phoneticPr fontId="2"/>
  </si>
  <si>
    <r>
      <t>関数の分類</t>
    </r>
    <r>
      <rPr>
        <b/>
        <sz val="14"/>
        <rFont val="ＭＳ Ｐゴシック"/>
        <family val="3"/>
        <charset val="128"/>
      </rPr>
      <t>＝</t>
    </r>
    <r>
      <rPr>
        <b/>
        <sz val="14"/>
        <color indexed="12"/>
        <rFont val="ＭＳ Ｐゴシック"/>
        <family val="3"/>
        <charset val="128"/>
      </rPr>
      <t>統計</t>
    </r>
    <rPh sb="6" eb="8">
      <t>トウケイ</t>
    </rPh>
    <phoneticPr fontId="2"/>
  </si>
  <si>
    <r>
      <t>③「</t>
    </r>
    <r>
      <rPr>
        <sz val="11"/>
        <color indexed="12"/>
        <rFont val="ＭＳ Ｐゴシック"/>
        <family val="3"/>
        <charset val="128"/>
      </rPr>
      <t>関数の分類</t>
    </r>
    <r>
      <rPr>
        <sz val="11"/>
        <rFont val="ＭＳ Ｐゴシック"/>
        <family val="3"/>
        <charset val="128"/>
      </rPr>
      <t>」で「</t>
    </r>
    <r>
      <rPr>
        <b/>
        <sz val="11"/>
        <color indexed="10"/>
        <rFont val="ＭＳ Ｐゴシック"/>
        <family val="3"/>
        <charset val="128"/>
      </rPr>
      <t>統計</t>
    </r>
    <r>
      <rPr>
        <sz val="11"/>
        <rFont val="ＭＳ Ｐゴシック"/>
        <family val="3"/>
        <charset val="128"/>
      </rPr>
      <t>」を選択。</t>
    </r>
    <rPh sb="2" eb="4">
      <t>カンスウ</t>
    </rPh>
    <rPh sb="5" eb="7">
      <t>ブンルイ</t>
    </rPh>
    <rPh sb="10" eb="12">
      <t>トウケイ</t>
    </rPh>
    <rPh sb="14" eb="16">
      <t>センタク</t>
    </rPh>
    <phoneticPr fontId="2"/>
  </si>
  <si>
    <t>RANK関数ー（統計）</t>
    <rPh sb="4" eb="6">
      <t>カンスウ</t>
    </rPh>
    <rPh sb="8" eb="10">
      <t>トウケイ</t>
    </rPh>
    <phoneticPr fontId="2"/>
  </si>
  <si>
    <t>販売額順位</t>
    <rPh sb="0" eb="2">
      <t>ハンバイ</t>
    </rPh>
    <rPh sb="2" eb="3">
      <t>ガク</t>
    </rPh>
    <rPh sb="3" eb="5">
      <t>ジュンイ</t>
    </rPh>
    <phoneticPr fontId="2"/>
  </si>
  <si>
    <t>誕生日順位</t>
    <rPh sb="0" eb="3">
      <t>タンジョウビ</t>
    </rPh>
    <rPh sb="3" eb="5">
      <t>ジュンイ</t>
    </rPh>
    <phoneticPr fontId="2"/>
  </si>
  <si>
    <t>問題１</t>
    <rPh sb="0" eb="2">
      <t>モンダイ</t>
    </rPh>
    <phoneticPr fontId="2"/>
  </si>
  <si>
    <t>問題２</t>
    <rPh sb="0" eb="2">
      <t>モンダイ</t>
    </rPh>
    <phoneticPr fontId="2"/>
  </si>
  <si>
    <t>答</t>
    <rPh sb="0" eb="1">
      <t>コタエ</t>
    </rPh>
    <phoneticPr fontId="2"/>
  </si>
  <si>
    <r>
      <t>④「</t>
    </r>
    <r>
      <rPr>
        <sz val="11"/>
        <color indexed="12"/>
        <rFont val="ＭＳ Ｐゴシック"/>
        <family val="3"/>
        <charset val="128"/>
      </rPr>
      <t>関数名</t>
    </r>
    <r>
      <rPr>
        <sz val="11"/>
        <rFont val="ＭＳ Ｐゴシック"/>
        <family val="3"/>
        <charset val="128"/>
      </rPr>
      <t>」で「</t>
    </r>
    <r>
      <rPr>
        <b/>
        <sz val="11"/>
        <color indexed="10"/>
        <rFont val="ＭＳ Ｐゴシック"/>
        <family val="3"/>
        <charset val="128"/>
      </rPr>
      <t>RANK</t>
    </r>
    <r>
      <rPr>
        <sz val="11"/>
        <rFont val="ＭＳ Ｐゴシック"/>
        <family val="3"/>
        <charset val="128"/>
      </rPr>
      <t>」を選択します。→「OK」</t>
    </r>
    <rPh sb="2" eb="4">
      <t>カンスウ</t>
    </rPh>
    <rPh sb="4" eb="5">
      <t>メイ</t>
    </rPh>
    <rPh sb="14" eb="16">
      <t>センタク</t>
    </rPh>
    <phoneticPr fontId="2"/>
  </si>
  <si>
    <r>
      <t>⑤「</t>
    </r>
    <r>
      <rPr>
        <sz val="11"/>
        <color indexed="12"/>
        <rFont val="ＭＳ Ｐゴシック"/>
        <family val="3"/>
        <charset val="128"/>
      </rPr>
      <t>関数の引数</t>
    </r>
    <r>
      <rPr>
        <sz val="11"/>
        <rFont val="ＭＳ Ｐゴシック"/>
        <family val="3"/>
        <charset val="128"/>
      </rPr>
      <t>」画面が表示され｛数値｝｛範囲｝｛順序｝を指定</t>
    </r>
    <rPh sb="2" eb="4">
      <t>カンスウ</t>
    </rPh>
    <rPh sb="5" eb="7">
      <t>ヒキスウ</t>
    </rPh>
    <rPh sb="8" eb="10">
      <t>ガメン</t>
    </rPh>
    <rPh sb="11" eb="13">
      <t>ヒョウジ</t>
    </rPh>
    <rPh sb="16" eb="18">
      <t>スウチ</t>
    </rPh>
    <rPh sb="20" eb="22">
      <t>ハンイ</t>
    </rPh>
    <rPh sb="24" eb="26">
      <t>ジュンジョ</t>
    </rPh>
    <rPh sb="28" eb="30">
      <t>シテイ</t>
    </rPh>
    <phoneticPr fontId="2"/>
  </si>
  <si>
    <r>
      <t>右の表で、</t>
    </r>
    <r>
      <rPr>
        <sz val="14"/>
        <color indexed="13"/>
        <rFont val="ＭＳ Ｐゴシック"/>
        <family val="3"/>
        <charset val="128"/>
      </rPr>
      <t>■</t>
    </r>
    <r>
      <rPr>
        <sz val="11"/>
        <rFont val="ＭＳ Ｐゴシック"/>
        <family val="3"/>
        <charset val="128"/>
      </rPr>
      <t>に「RANK」関数で順位を設定しましょう。</t>
    </r>
    <rPh sb="0" eb="1">
      <t>ミギ</t>
    </rPh>
    <rPh sb="2" eb="3">
      <t>ヒョウ</t>
    </rPh>
    <rPh sb="13" eb="15">
      <t>カンスウ</t>
    </rPh>
    <rPh sb="16" eb="18">
      <t>ジュンイ</t>
    </rPh>
    <rPh sb="19" eb="21">
      <t>セッテイ</t>
    </rPh>
    <phoneticPr fontId="2"/>
  </si>
  <si>
    <t>　 数値の小さい順に順位を設定します。</t>
    <rPh sb="2" eb="4">
      <t>スウチ</t>
    </rPh>
    <rPh sb="5" eb="6">
      <t>チイ</t>
    </rPh>
    <rPh sb="8" eb="9">
      <t>ジュン</t>
    </rPh>
    <rPh sb="10" eb="12">
      <t>ジュンイ</t>
    </rPh>
    <rPh sb="13" eb="15">
      <t>セッテイ</t>
    </rPh>
    <phoneticPr fontId="2"/>
  </si>
  <si>
    <t>体重</t>
    <rPh sb="0" eb="2">
      <t>タイジュウ</t>
    </rPh>
    <phoneticPr fontId="2"/>
  </si>
  <si>
    <r>
      <t>「体重」の</t>
    </r>
    <r>
      <rPr>
        <sz val="11"/>
        <color indexed="10"/>
        <rFont val="ＭＳ Ｐゴシック"/>
        <family val="3"/>
        <charset val="128"/>
      </rPr>
      <t>重い順</t>
    </r>
    <r>
      <rPr>
        <sz val="11"/>
        <rFont val="ＭＳ Ｐゴシック"/>
        <family val="3"/>
        <charset val="128"/>
      </rPr>
      <t>に順位をつけましょう</t>
    </r>
    <rPh sb="1" eb="3">
      <t>タイジュウ</t>
    </rPh>
    <rPh sb="5" eb="6">
      <t>オモ</t>
    </rPh>
    <rPh sb="7" eb="8">
      <t>ジュン</t>
    </rPh>
    <rPh sb="9" eb="11">
      <t>ジュンイ</t>
    </rPh>
    <phoneticPr fontId="2"/>
  </si>
  <si>
    <r>
      <t>「年齢」の</t>
    </r>
    <r>
      <rPr>
        <sz val="11"/>
        <color indexed="10"/>
        <rFont val="ＭＳ Ｐゴシック"/>
        <family val="3"/>
        <charset val="128"/>
      </rPr>
      <t>高い順</t>
    </r>
    <r>
      <rPr>
        <sz val="11"/>
        <rFont val="ＭＳ Ｐゴシック"/>
        <family val="3"/>
        <charset val="128"/>
      </rPr>
      <t>に順位をつけましょう</t>
    </r>
    <rPh sb="1" eb="3">
      <t>ネンレイ</t>
    </rPh>
    <rPh sb="5" eb="6">
      <t>タカ</t>
    </rPh>
    <rPh sb="7" eb="8">
      <t>ジュン</t>
    </rPh>
    <rPh sb="9" eb="11">
      <t>ジュンイ</t>
    </rPh>
    <phoneticPr fontId="2"/>
  </si>
  <si>
    <t>体重順位</t>
    <rPh sb="0" eb="2">
      <t>タイジュウ</t>
    </rPh>
    <rPh sb="2" eb="4">
      <t>ジュンイ</t>
    </rPh>
    <phoneticPr fontId="2"/>
  </si>
  <si>
    <t>英語</t>
    <rPh sb="0" eb="2">
      <t>エイゴ</t>
    </rPh>
    <phoneticPr fontId="2"/>
  </si>
  <si>
    <t>名前</t>
    <rPh sb="0" eb="2">
      <t>ナマエ</t>
    </rPh>
    <phoneticPr fontId="2"/>
  </si>
  <si>
    <t>松井</t>
    <rPh sb="0" eb="2">
      <t>マツイ</t>
    </rPh>
    <phoneticPr fontId="2"/>
  </si>
  <si>
    <t>田淵</t>
    <rPh sb="0" eb="2">
      <t>タブチ</t>
    </rPh>
    <phoneticPr fontId="2"/>
  </si>
  <si>
    <t>長島</t>
    <rPh sb="0" eb="2">
      <t>ナガシマ</t>
    </rPh>
    <phoneticPr fontId="2"/>
  </si>
  <si>
    <t>高橋</t>
    <rPh sb="0" eb="2">
      <t>タカハシ</t>
    </rPh>
    <phoneticPr fontId="2"/>
  </si>
  <si>
    <t>鈴木</t>
    <rPh sb="0" eb="2">
      <t>スズキ</t>
    </rPh>
    <phoneticPr fontId="2"/>
  </si>
  <si>
    <t>中村</t>
    <rPh sb="0" eb="2">
      <t>ナカムラ</t>
    </rPh>
    <phoneticPr fontId="2"/>
  </si>
  <si>
    <t>江本</t>
    <rPh sb="0" eb="2">
      <t>エモト</t>
    </rPh>
    <phoneticPr fontId="2"/>
  </si>
  <si>
    <t>国語</t>
    <rPh sb="0" eb="2">
      <t>コクゴ</t>
    </rPh>
    <phoneticPr fontId="2"/>
  </si>
  <si>
    <t>英語順位</t>
    <rPh sb="0" eb="2">
      <t>エイゴ</t>
    </rPh>
    <rPh sb="2" eb="4">
      <t>ジュンイ</t>
    </rPh>
    <phoneticPr fontId="2"/>
  </si>
  <si>
    <t>合計順位</t>
    <rPh sb="0" eb="2">
      <t>ゴウケイ</t>
    </rPh>
    <rPh sb="2" eb="4">
      <t>ジュンイ</t>
    </rPh>
    <phoneticPr fontId="2"/>
  </si>
  <si>
    <r>
      <t>右の表で、</t>
    </r>
    <r>
      <rPr>
        <sz val="14"/>
        <color indexed="13"/>
        <rFont val="ＭＳ Ｐゴシック"/>
        <family val="3"/>
        <charset val="128"/>
      </rPr>
      <t>■</t>
    </r>
    <r>
      <rPr>
        <sz val="11"/>
        <rFont val="ＭＳ Ｐゴシック"/>
        <family val="3"/>
        <charset val="128"/>
      </rPr>
      <t>に計算式を設定しましょう。</t>
    </r>
    <rPh sb="0" eb="1">
      <t>ミギ</t>
    </rPh>
    <rPh sb="2" eb="3">
      <t>ヒョウ</t>
    </rPh>
    <rPh sb="7" eb="9">
      <t>ケイサン</t>
    </rPh>
    <rPh sb="9" eb="10">
      <t>シキ</t>
    </rPh>
    <rPh sb="11" eb="13">
      <t>セッテイ</t>
    </rPh>
    <phoneticPr fontId="2"/>
  </si>
  <si>
    <t>（問題１）</t>
    <rPh sb="1" eb="3">
      <t>モンダイ</t>
    </rPh>
    <phoneticPr fontId="2"/>
  </si>
  <si>
    <t>（問題２）</t>
    <rPh sb="1" eb="3">
      <t>モンダイ</t>
    </rPh>
    <phoneticPr fontId="2"/>
  </si>
  <si>
    <t>（問題３）</t>
    <rPh sb="1" eb="3">
      <t>モンダイ</t>
    </rPh>
    <phoneticPr fontId="2"/>
  </si>
  <si>
    <t>２科目で８０点以上はいくつあるでしょう。</t>
    <rPh sb="1" eb="3">
      <t>カモク</t>
    </rPh>
    <rPh sb="6" eb="7">
      <t>テン</t>
    </rPh>
    <rPh sb="7" eb="9">
      <t>イジョウ</t>
    </rPh>
    <phoneticPr fontId="2"/>
  </si>
  <si>
    <t>（問題４）</t>
    <rPh sb="1" eb="3">
      <t>モンダイ</t>
    </rPh>
    <phoneticPr fontId="2"/>
  </si>
  <si>
    <t>２科目で９０点以上の合計は何点でしょう。</t>
    <rPh sb="1" eb="3">
      <t>カモク</t>
    </rPh>
    <rPh sb="6" eb="7">
      <t>テン</t>
    </rPh>
    <rPh sb="7" eb="9">
      <t>イジョウ</t>
    </rPh>
    <rPh sb="10" eb="12">
      <t>ゴウケイ</t>
    </rPh>
    <rPh sb="13" eb="15">
      <t>ナンテン</t>
    </rPh>
    <phoneticPr fontId="2"/>
  </si>
  <si>
    <r>
      <t>「英語」で</t>
    </r>
    <r>
      <rPr>
        <b/>
        <sz val="11"/>
        <rFont val="ＭＳ Ｐゴシック"/>
        <family val="3"/>
        <charset val="128"/>
      </rPr>
      <t>８０点以上</t>
    </r>
    <r>
      <rPr>
        <sz val="11"/>
        <rFont val="ＭＳ Ｐゴシック"/>
        <family val="3"/>
        <charset val="128"/>
      </rPr>
      <t>を｛条件付き書式で｝</t>
    </r>
    <r>
      <rPr>
        <sz val="11"/>
        <color indexed="12"/>
        <rFont val="ＭＳ Ｐゴシック"/>
        <family val="3"/>
        <charset val="128"/>
      </rPr>
      <t>青く表示</t>
    </r>
    <r>
      <rPr>
        <sz val="11"/>
        <rFont val="ＭＳ Ｐゴシック"/>
        <family val="3"/>
        <charset val="128"/>
      </rPr>
      <t>しましょう。</t>
    </r>
    <rPh sb="1" eb="3">
      <t>エイゴ</t>
    </rPh>
    <rPh sb="7" eb="8">
      <t>テン</t>
    </rPh>
    <rPh sb="8" eb="10">
      <t>イジョウ</t>
    </rPh>
    <rPh sb="12" eb="15">
      <t>ジョウケンツ</t>
    </rPh>
    <rPh sb="16" eb="18">
      <t>ショシキ</t>
    </rPh>
    <rPh sb="20" eb="21">
      <t>アオ</t>
    </rPh>
    <rPh sb="22" eb="24">
      <t>ヒョウジ</t>
    </rPh>
    <phoneticPr fontId="2"/>
  </si>
  <si>
    <t>②関数を命令す方法（「ホーム」タブのリボンの「数値」から選択でも可）</t>
    <rPh sb="1" eb="3">
      <t>カンスウ</t>
    </rPh>
    <rPh sb="4" eb="6">
      <t>メイレイ</t>
    </rPh>
    <rPh sb="7" eb="9">
      <t>ホウホウ</t>
    </rPh>
    <rPh sb="23" eb="25">
      <t>スウチ</t>
    </rPh>
    <rPh sb="28" eb="30">
      <t>センタク</t>
    </rPh>
    <rPh sb="32" eb="33">
      <t>カ</t>
    </rPh>
    <phoneticPr fontId="2"/>
  </si>
  <si>
    <r>
      <t>※関数の引数画面で｛</t>
    </r>
    <r>
      <rPr>
        <b/>
        <sz val="11"/>
        <color indexed="8"/>
        <rFont val="ＭＳ Ｐゴシック"/>
        <family val="3"/>
        <charset val="128"/>
      </rPr>
      <t>順位</t>
    </r>
    <r>
      <rPr>
        <sz val="11"/>
        <color indexed="8"/>
        <rFont val="ＭＳ Ｐゴシック"/>
        <family val="3"/>
        <charset val="128"/>
      </rPr>
      <t>｝に「</t>
    </r>
    <r>
      <rPr>
        <b/>
        <sz val="11"/>
        <color rgb="FFFF0000"/>
        <rFont val="ＭＳ Ｐゴシック"/>
        <family val="3"/>
        <charset val="128"/>
      </rPr>
      <t>１</t>
    </r>
    <r>
      <rPr>
        <sz val="11"/>
        <color indexed="8"/>
        <rFont val="ＭＳ Ｐゴシック"/>
        <family val="3"/>
        <charset val="128"/>
      </rPr>
      <t>」を設定すると</t>
    </r>
    <rPh sb="1" eb="3">
      <t>カンスウ</t>
    </rPh>
    <rPh sb="4" eb="6">
      <t>ヒキスウ</t>
    </rPh>
    <rPh sb="6" eb="8">
      <t>ガメン</t>
    </rPh>
    <rPh sb="10" eb="12">
      <t>ジュンイ</t>
    </rPh>
    <rPh sb="18" eb="20">
      <t>セッテイ</t>
    </rPh>
    <phoneticPr fontId="2"/>
  </si>
  <si>
    <r>
      <t>入力モードを「</t>
    </r>
    <r>
      <rPr>
        <b/>
        <sz val="12"/>
        <color theme="4" tint="-0.249977111117893"/>
        <rFont val="ＭＳ Ｐゴシック"/>
        <family val="3"/>
        <charset val="128"/>
      </rPr>
      <t>半角全角</t>
    </r>
    <r>
      <rPr>
        <b/>
        <sz val="12"/>
        <rFont val="ＭＳ Ｐゴシック"/>
        <family val="3"/>
        <charset val="128"/>
      </rPr>
      <t>」キーを押し</t>
    </r>
    <r>
      <rPr>
        <b/>
        <sz val="12"/>
        <rFont val="ＭＳ Ｐゴシック"/>
        <family val="3"/>
        <charset val="128"/>
      </rPr>
      <t>「</t>
    </r>
    <r>
      <rPr>
        <b/>
        <sz val="12"/>
        <color indexed="10"/>
        <rFont val="ＭＳ Ｐゴシック"/>
        <family val="3"/>
        <charset val="128"/>
      </rPr>
      <t>半角英数</t>
    </r>
    <r>
      <rPr>
        <b/>
        <sz val="12"/>
        <rFont val="ＭＳ Ｐゴシック"/>
        <family val="3"/>
        <charset val="128"/>
      </rPr>
      <t>」にしましょう。</t>
    </r>
    <rPh sb="0" eb="2">
      <t>ニュウリョク</t>
    </rPh>
    <rPh sb="9" eb="11">
      <t>ゼンカク</t>
    </rPh>
    <rPh sb="15" eb="16">
      <t>オ</t>
    </rPh>
    <rPh sb="18" eb="20">
      <t>ハンカク</t>
    </rPh>
    <rPh sb="20" eb="22">
      <t>エイスウ</t>
    </rPh>
    <phoneticPr fontId="2"/>
  </si>
  <si>
    <r>
      <t>「国語」で</t>
    </r>
    <r>
      <rPr>
        <b/>
        <sz val="11"/>
        <rFont val="ＭＳ Ｐゴシック"/>
        <family val="3"/>
        <charset val="128"/>
      </rPr>
      <t>７０点未満</t>
    </r>
    <r>
      <rPr>
        <sz val="11"/>
        <rFont val="ＭＳ Ｐゴシック"/>
        <family val="3"/>
        <charset val="128"/>
      </rPr>
      <t>を｛条件付き書式で｝</t>
    </r>
    <r>
      <rPr>
        <sz val="11"/>
        <color indexed="10"/>
        <rFont val="ＭＳ Ｐゴシック"/>
        <family val="3"/>
        <charset val="128"/>
      </rPr>
      <t>赤く表示</t>
    </r>
    <r>
      <rPr>
        <sz val="11"/>
        <rFont val="ＭＳ Ｐゴシック"/>
        <family val="3"/>
        <charset val="128"/>
      </rPr>
      <t>しましょう。</t>
    </r>
    <rPh sb="1" eb="3">
      <t>コクゴ</t>
    </rPh>
    <rPh sb="7" eb="8">
      <t>テン</t>
    </rPh>
    <rPh sb="8" eb="10">
      <t>ミマン</t>
    </rPh>
    <rPh sb="12" eb="15">
      <t>ジョウケンツ</t>
    </rPh>
    <rPh sb="16" eb="18">
      <t>ショシキ</t>
    </rPh>
    <rPh sb="20" eb="21">
      <t>アカ</t>
    </rPh>
    <rPh sb="22" eb="24">
      <t>ヒョウジ</t>
    </rPh>
    <phoneticPr fontId="2"/>
  </si>
  <si>
    <t>Copyright(c) Beginners Site All right reserved 2011/01/01</t>
    <phoneticPr fontId="2"/>
  </si>
  <si>
    <r>
      <t>⑤</t>
    </r>
    <r>
      <rPr>
        <sz val="11"/>
        <color indexed="10"/>
        <rFont val="ＭＳ Ｐゴシック"/>
        <family val="3"/>
        <charset val="128"/>
      </rPr>
      <t>（２）</t>
    </r>
    <r>
      <rPr>
        <sz val="11"/>
        <rFont val="ＭＳ Ｐゴシック"/>
        <family val="3"/>
        <charset val="128"/>
      </rPr>
      <t>「</t>
    </r>
    <r>
      <rPr>
        <sz val="11"/>
        <color indexed="12"/>
        <rFont val="ＭＳ Ｐゴシック"/>
        <family val="3"/>
        <charset val="128"/>
      </rPr>
      <t>関数名</t>
    </r>
    <r>
      <rPr>
        <sz val="11"/>
        <rFont val="ＭＳ Ｐゴシック"/>
        <family val="3"/>
        <charset val="128"/>
      </rPr>
      <t>」のリストから、使用する関数を選択します。</t>
    </r>
    <rPh sb="5" eb="8">
      <t>カンスウメイ</t>
    </rPh>
    <rPh sb="16" eb="18">
      <t>シヨウ</t>
    </rPh>
    <rPh sb="20" eb="22">
      <t>カンスウ</t>
    </rPh>
    <rPh sb="23" eb="25">
      <t>センタク</t>
    </rPh>
    <phoneticPr fontId="2"/>
  </si>
  <si>
    <r>
      <t>２、「数式バー」の左横にある、　　「</t>
    </r>
    <r>
      <rPr>
        <sz val="11"/>
        <color indexed="12"/>
        <rFont val="ＭＳ Ｐゴシック"/>
        <family val="3"/>
        <charset val="128"/>
      </rPr>
      <t>関数の挿入</t>
    </r>
    <r>
      <rPr>
        <sz val="11"/>
        <rFont val="ＭＳ Ｐゴシック"/>
        <family val="3"/>
        <charset val="128"/>
      </rPr>
      <t>」ボタンをクリック</t>
    </r>
    <rPh sb="3" eb="5">
      <t>スウシキ</t>
    </rPh>
    <rPh sb="9" eb="10">
      <t>ヒダリ</t>
    </rPh>
    <rPh sb="10" eb="11">
      <t>ヨコ</t>
    </rPh>
    <rPh sb="18" eb="20">
      <t>カンスウ</t>
    </rPh>
    <rPh sb="21" eb="23">
      <t>ソウニュウ</t>
    </rPh>
    <phoneticPr fontId="2"/>
  </si>
  <si>
    <t>RANK関数と
RANK.EQ関数の違い</t>
    <rPh sb="4" eb="6">
      <t>カンスウ</t>
    </rPh>
    <rPh sb="15" eb="17">
      <t>カンスウ</t>
    </rPh>
    <rPh sb="18" eb="19">
      <t>チガ</t>
    </rPh>
    <phoneticPr fontId="2"/>
  </si>
  <si>
    <t>Excel2007まではRANK関数しかありませんでしたが、Excel2007はRANK関数に加え、RANK.EQ関数とRANK.AVG関数が追加されました。
その中のRANK関数とRANK.EQ関数については全く同じ動作をします。</t>
    <rPh sb="16" eb="18">
      <t>カンスウ</t>
    </rPh>
    <rPh sb="44" eb="46">
      <t>カンスウ</t>
    </rPh>
    <rPh sb="47" eb="48">
      <t>クワ</t>
    </rPh>
    <rPh sb="57" eb="59">
      <t>カンスウ</t>
    </rPh>
    <rPh sb="68" eb="70">
      <t>カンスウ</t>
    </rPh>
    <rPh sb="71" eb="73">
      <t>ツイカ</t>
    </rPh>
    <rPh sb="82" eb="83">
      <t>ナカ</t>
    </rPh>
    <rPh sb="88" eb="90">
      <t>カンスウ</t>
    </rPh>
    <rPh sb="98" eb="100">
      <t>カンスウ</t>
    </rPh>
    <rPh sb="105" eb="106">
      <t>マッタ</t>
    </rPh>
    <rPh sb="107" eb="108">
      <t>オナ</t>
    </rPh>
    <rPh sb="109" eb="111">
      <t>ドウサ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</si>
</sst>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76" formatCode="#,###&quot;円&quot;"/>
    <numFmt numFmtId="177" formatCode="#,###&quot;個&quot;"/>
    <numFmt numFmtId="178" formatCode="m&quot;月&quot;d&quot;日&quot;;@"/>
    <numFmt numFmtId="179" formatCode="yyyy&quot;年&quot;mm&quot;月&quot;;@"/>
    <numFmt numFmtId="180" formatCode="##&quot;位&quot;"/>
    <numFmt numFmtId="181" formatCode="##&quot;kg&quot;"/>
    <numFmt numFmtId="182" formatCode="0.0_ "/>
  </numFmts>
  <fonts count="34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2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3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1"/>
      <color indexed="43"/>
      <name val="ＭＳ Ｐゴシック"/>
      <family val="3"/>
      <charset val="128"/>
    </font>
    <font>
      <sz val="11"/>
      <color indexed="14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2"/>
      <color indexed="14"/>
      <name val="ＭＳ Ｐゴシック"/>
      <family val="3"/>
      <charset val="128"/>
    </font>
    <font>
      <sz val="10"/>
      <color indexed="81"/>
      <name val="ＭＳ Ｐゴシック"/>
      <family val="3"/>
      <charset val="128"/>
    </font>
    <font>
      <sz val="10"/>
      <color indexed="10"/>
      <name val="ＭＳ Ｐゴシック"/>
      <family val="3"/>
      <charset val="128"/>
    </font>
    <font>
      <b/>
      <sz val="14"/>
      <color indexed="12"/>
      <name val="ＭＳ Ｐゴシック"/>
      <family val="3"/>
      <charset val="128"/>
    </font>
    <font>
      <sz val="11"/>
      <color indexed="81"/>
      <name val="ＭＳ Ｐゴシック"/>
      <family val="3"/>
      <charset val="128"/>
    </font>
    <font>
      <b/>
      <sz val="14"/>
      <color indexed="9"/>
      <name val="ＭＳ Ｐゴシック"/>
      <family val="3"/>
      <charset val="128"/>
    </font>
    <font>
      <b/>
      <sz val="10"/>
      <color indexed="12"/>
      <name val="ＭＳ Ｐゴシック"/>
      <family val="3"/>
      <charset val="128"/>
    </font>
    <font>
      <sz val="14"/>
      <color indexed="13"/>
      <name val="ＭＳ Ｐゴシック"/>
      <family val="3"/>
      <charset val="128"/>
    </font>
    <font>
      <sz val="11"/>
      <color indexed="43"/>
      <name val="Century"/>
      <family val="1"/>
    </font>
    <font>
      <b/>
      <sz val="10"/>
      <color indexed="81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1"/>
      <color indexed="81"/>
      <name val="ＭＳ Ｐゴシック"/>
      <family val="3"/>
      <charset val="128"/>
    </font>
    <font>
      <b/>
      <sz val="12"/>
      <color theme="4" tint="-0.249977111117893"/>
      <name val="ＭＳ Ｐゴシック"/>
      <family val="3"/>
      <charset val="128"/>
    </font>
    <font>
      <b/>
      <sz val="12"/>
      <color indexed="81"/>
      <name val="ＭＳ Ｐゴシック"/>
      <family val="3"/>
      <charset val="128"/>
    </font>
    <font>
      <sz val="14"/>
      <color indexed="81"/>
      <name val="ＭＳ Ｐゴシック"/>
      <family val="3"/>
      <charset val="128"/>
    </font>
    <font>
      <b/>
      <sz val="14"/>
      <color indexed="81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65">
    <xf numFmtId="0" fontId="0" fillId="0" borderId="0" xfId="0">
      <alignment vertical="center"/>
    </xf>
    <xf numFmtId="0" fontId="4" fillId="0" borderId="0" xfId="0" applyFont="1">
      <alignment vertical="center"/>
    </xf>
    <xf numFmtId="0" fontId="8" fillId="0" borderId="0" xfId="0" applyFont="1">
      <alignment vertical="center"/>
    </xf>
    <xf numFmtId="0" fontId="6" fillId="0" borderId="0" xfId="0" applyFont="1">
      <alignment vertical="center"/>
    </xf>
    <xf numFmtId="0" fontId="1" fillId="0" borderId="0" xfId="0" applyFo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176" fontId="10" fillId="0" borderId="0" xfId="1" applyNumberFormat="1" applyFont="1" applyBorder="1">
      <alignment vertical="center"/>
    </xf>
    <xf numFmtId="177" fontId="10" fillId="0" borderId="0" xfId="1" applyNumberFormat="1" applyFont="1" applyBorder="1">
      <alignment vertical="center"/>
    </xf>
    <xf numFmtId="0" fontId="13" fillId="2" borderId="1" xfId="0" applyFont="1" applyFill="1" applyBorder="1">
      <alignment vertical="center"/>
    </xf>
    <xf numFmtId="0" fontId="13" fillId="2" borderId="2" xfId="0" applyFont="1" applyFill="1" applyBorder="1">
      <alignment vertical="center"/>
    </xf>
    <xf numFmtId="0" fontId="13" fillId="2" borderId="3" xfId="0" applyFont="1" applyFill="1" applyBorder="1">
      <alignment vertical="center"/>
    </xf>
    <xf numFmtId="0" fontId="13" fillId="2" borderId="4" xfId="0" applyFont="1" applyFill="1" applyBorder="1">
      <alignment vertical="center"/>
    </xf>
    <xf numFmtId="0" fontId="13" fillId="2" borderId="0" xfId="0" applyFont="1" applyFill="1" applyBorder="1">
      <alignment vertical="center"/>
    </xf>
    <xf numFmtId="0" fontId="13" fillId="2" borderId="5" xfId="0" applyFont="1" applyFill="1" applyBorder="1">
      <alignment vertical="center"/>
    </xf>
    <xf numFmtId="0" fontId="13" fillId="2" borderId="6" xfId="0" applyFont="1" applyFill="1" applyBorder="1">
      <alignment vertical="center"/>
    </xf>
    <xf numFmtId="0" fontId="13" fillId="2" borderId="7" xfId="0" applyFont="1" applyFill="1" applyBorder="1">
      <alignment vertical="center"/>
    </xf>
    <xf numFmtId="0" fontId="13" fillId="2" borderId="8" xfId="0" applyFont="1" applyFill="1" applyBorder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3" borderId="0" xfId="0" applyFont="1" applyFill="1">
      <alignment vertical="center"/>
    </xf>
    <xf numFmtId="0" fontId="0" fillId="3" borderId="0" xfId="0" applyFill="1">
      <alignment vertical="center"/>
    </xf>
    <xf numFmtId="0" fontId="0" fillId="0" borderId="0" xfId="0" applyFill="1" applyBorder="1">
      <alignment vertical="center"/>
    </xf>
    <xf numFmtId="0" fontId="17" fillId="0" borderId="0" xfId="0" applyFont="1">
      <alignment vertical="center"/>
    </xf>
    <xf numFmtId="0" fontId="17" fillId="0" borderId="0" xfId="0" applyFont="1" applyFill="1" applyBorder="1" applyAlignment="1">
      <alignment horizontal="center" vertical="center"/>
    </xf>
    <xf numFmtId="0" fontId="0" fillId="4" borderId="9" xfId="0" applyFill="1" applyBorder="1">
      <alignment vertical="center"/>
    </xf>
    <xf numFmtId="38" fontId="10" fillId="0" borderId="10" xfId="1" applyFont="1" applyBorder="1" applyAlignment="1"/>
    <xf numFmtId="38" fontId="10" fillId="0" borderId="11" xfId="1" applyFont="1" applyBorder="1" applyAlignment="1"/>
    <xf numFmtId="0" fontId="10" fillId="0" borderId="0" xfId="0" applyFont="1" applyBorder="1" applyAlignment="1">
      <alignment horizontal="center"/>
    </xf>
    <xf numFmtId="49" fontId="10" fillId="0" borderId="0" xfId="0" applyNumberFormat="1" applyFont="1" applyBorder="1" applyAlignment="1">
      <alignment horizontal="center"/>
    </xf>
    <xf numFmtId="0" fontId="10" fillId="0" borderId="0" xfId="0" applyFont="1">
      <alignment vertical="center"/>
    </xf>
    <xf numFmtId="0" fontId="0" fillId="5" borderId="9" xfId="0" applyFill="1" applyBorder="1">
      <alignment vertical="center"/>
    </xf>
    <xf numFmtId="0" fontId="0" fillId="0" borderId="0" xfId="0" applyAlignment="1">
      <alignment horizontal="right" vertical="center"/>
    </xf>
    <xf numFmtId="178" fontId="10" fillId="0" borderId="15" xfId="0" applyNumberFormat="1" applyFont="1" applyBorder="1">
      <alignment vertical="center"/>
    </xf>
    <xf numFmtId="178" fontId="10" fillId="0" borderId="17" xfId="0" applyNumberFormat="1" applyFont="1" applyBorder="1">
      <alignment vertical="center"/>
    </xf>
    <xf numFmtId="178" fontId="10" fillId="0" borderId="18" xfId="0" applyNumberFormat="1" applyFont="1" applyBorder="1">
      <alignment vertical="center"/>
    </xf>
    <xf numFmtId="179" fontId="10" fillId="0" borderId="15" xfId="0" applyNumberFormat="1" applyFont="1" applyBorder="1">
      <alignment vertical="center"/>
    </xf>
    <xf numFmtId="179" fontId="10" fillId="0" borderId="17" xfId="0" applyNumberFormat="1" applyFont="1" applyBorder="1">
      <alignment vertical="center"/>
    </xf>
    <xf numFmtId="179" fontId="10" fillId="0" borderId="18" xfId="0" applyNumberFormat="1" applyFont="1" applyBorder="1">
      <alignment vertical="center"/>
    </xf>
    <xf numFmtId="0" fontId="10" fillId="0" borderId="20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4" fillId="0" borderId="0" xfId="0" applyFont="1" applyFill="1" applyBorder="1">
      <alignment vertical="center"/>
    </xf>
    <xf numFmtId="38" fontId="0" fillId="0" borderId="0" xfId="1" applyFont="1" applyFill="1" applyBorder="1">
      <alignment vertical="center"/>
    </xf>
    <xf numFmtId="0" fontId="10" fillId="0" borderId="0" xfId="0" applyFont="1" applyFill="1" applyBorder="1">
      <alignment vertical="center"/>
    </xf>
    <xf numFmtId="0" fontId="19" fillId="0" borderId="0" xfId="0" applyFont="1" applyFill="1" applyBorder="1" applyAlignment="1">
      <alignment horizontal="right" vertical="center"/>
    </xf>
    <xf numFmtId="179" fontId="10" fillId="0" borderId="0" xfId="0" applyNumberFormat="1" applyFont="1" applyBorder="1">
      <alignment vertical="center"/>
    </xf>
    <xf numFmtId="38" fontId="10" fillId="0" borderId="0" xfId="1" applyFont="1" applyBorder="1" applyAlignment="1"/>
    <xf numFmtId="0" fontId="1" fillId="0" borderId="0" xfId="0" applyFont="1" applyFill="1" applyBorder="1">
      <alignment vertical="center"/>
    </xf>
    <xf numFmtId="0" fontId="10" fillId="0" borderId="0" xfId="0" applyFont="1" applyFill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38" fontId="10" fillId="0" borderId="32" xfId="1" applyFont="1" applyBorder="1" applyAlignment="1"/>
    <xf numFmtId="38" fontId="10" fillId="0" borderId="33" xfId="1" applyFont="1" applyBorder="1" applyAlignment="1"/>
    <xf numFmtId="38" fontId="10" fillId="0" borderId="34" xfId="1" applyFont="1" applyBorder="1" applyAlignment="1"/>
    <xf numFmtId="0" fontId="0" fillId="6" borderId="36" xfId="0" applyFill="1" applyBorder="1">
      <alignment vertical="center"/>
    </xf>
    <xf numFmtId="0" fontId="0" fillId="6" borderId="37" xfId="0" applyFill="1" applyBorder="1">
      <alignment vertical="center"/>
    </xf>
    <xf numFmtId="0" fontId="0" fillId="6" borderId="38" xfId="0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11" fillId="0" borderId="14" xfId="0" applyFont="1" applyBorder="1" applyAlignment="1">
      <alignment horizontal="center" vertical="center"/>
    </xf>
    <xf numFmtId="38" fontId="0" fillId="0" borderId="16" xfId="0" applyNumberFormat="1" applyBorder="1">
      <alignment vertical="center"/>
    </xf>
    <xf numFmtId="0" fontId="16" fillId="7" borderId="1" xfId="0" applyFont="1" applyFill="1" applyBorder="1">
      <alignment vertical="center"/>
    </xf>
    <xf numFmtId="0" fontId="16" fillId="7" borderId="2" xfId="0" applyFont="1" applyFill="1" applyBorder="1">
      <alignment vertical="center"/>
    </xf>
    <xf numFmtId="0" fontId="16" fillId="7" borderId="39" xfId="0" applyFont="1" applyFill="1" applyBorder="1">
      <alignment vertical="center"/>
    </xf>
    <xf numFmtId="0" fontId="16" fillId="7" borderId="40" xfId="0" applyFont="1" applyFill="1" applyBorder="1">
      <alignment vertical="center"/>
    </xf>
    <xf numFmtId="181" fontId="10" fillId="0" borderId="16" xfId="1" applyNumberFormat="1" applyFont="1" applyBorder="1" applyAlignment="1"/>
    <xf numFmtId="181" fontId="10" fillId="0" borderId="10" xfId="1" applyNumberFormat="1" applyFont="1" applyBorder="1" applyAlignment="1"/>
    <xf numFmtId="181" fontId="10" fillId="0" borderId="11" xfId="1" applyNumberFormat="1" applyFont="1" applyBorder="1" applyAlignment="1"/>
    <xf numFmtId="0" fontId="0" fillId="7" borderId="44" xfId="0" applyFill="1" applyBorder="1">
      <alignment vertical="center"/>
    </xf>
    <xf numFmtId="0" fontId="0" fillId="7" borderId="45" xfId="0" applyFill="1" applyBorder="1">
      <alignment vertical="center"/>
    </xf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0" fillId="8" borderId="49" xfId="0" applyFill="1" applyBorder="1" applyAlignment="1">
      <alignment horizontal="center" vertical="center"/>
    </xf>
    <xf numFmtId="0" fontId="0" fillId="8" borderId="50" xfId="0" applyFill="1" applyBorder="1" applyAlignment="1">
      <alignment horizontal="center" vertical="center"/>
    </xf>
    <xf numFmtId="0" fontId="0" fillId="8" borderId="51" xfId="0" applyFill="1" applyBorder="1" applyAlignment="1">
      <alignment horizontal="center" vertical="center"/>
    </xf>
    <xf numFmtId="0" fontId="0" fillId="9" borderId="49" xfId="0" applyFill="1" applyBorder="1" applyAlignment="1">
      <alignment horizontal="center" vertical="center"/>
    </xf>
    <xf numFmtId="0" fontId="0" fillId="9" borderId="52" xfId="0" applyFill="1" applyBorder="1" applyAlignment="1">
      <alignment horizontal="center" vertical="center"/>
    </xf>
    <xf numFmtId="0" fontId="0" fillId="6" borderId="55" xfId="0" applyFill="1" applyBorder="1">
      <alignment vertical="center"/>
    </xf>
    <xf numFmtId="0" fontId="0" fillId="6" borderId="58" xfId="0" applyFill="1" applyBorder="1">
      <alignment vertical="center"/>
    </xf>
    <xf numFmtId="0" fontId="0" fillId="6" borderId="59" xfId="0" applyFill="1" applyBorder="1">
      <alignment vertical="center"/>
    </xf>
    <xf numFmtId="0" fontId="0" fillId="10" borderId="60" xfId="0" applyFill="1" applyBorder="1">
      <alignment vertical="center"/>
    </xf>
    <xf numFmtId="0" fontId="0" fillId="10" borderId="61" xfId="0" applyFill="1" applyBorder="1">
      <alignment vertical="center"/>
    </xf>
    <xf numFmtId="182" fontId="0" fillId="6" borderId="59" xfId="0" applyNumberFormat="1" applyFill="1" applyBorder="1">
      <alignment vertical="center"/>
    </xf>
    <xf numFmtId="182" fontId="0" fillId="6" borderId="58" xfId="0" applyNumberFormat="1" applyFill="1" applyBorder="1">
      <alignment vertical="center"/>
    </xf>
    <xf numFmtId="0" fontId="0" fillId="6" borderId="62" xfId="0" applyFill="1" applyBorder="1">
      <alignment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0" xfId="0" applyFont="1">
      <alignment vertical="center"/>
    </xf>
    <xf numFmtId="0" fontId="0" fillId="14" borderId="24" xfId="0" applyFill="1" applyBorder="1">
      <alignment vertical="center"/>
    </xf>
    <xf numFmtId="0" fontId="0" fillId="14" borderId="25" xfId="0" applyFill="1" applyBorder="1">
      <alignment vertical="center"/>
    </xf>
    <xf numFmtId="0" fontId="0" fillId="14" borderId="57" xfId="0" applyFill="1" applyBorder="1">
      <alignment vertical="center"/>
    </xf>
    <xf numFmtId="0" fontId="0" fillId="15" borderId="53" xfId="0" applyFill="1" applyBorder="1">
      <alignment vertical="center"/>
    </xf>
    <xf numFmtId="0" fontId="0" fillId="15" borderId="54" xfId="0" applyFill="1" applyBorder="1">
      <alignment vertical="center"/>
    </xf>
    <xf numFmtId="0" fontId="0" fillId="15" borderId="56" xfId="0" applyFill="1" applyBorder="1">
      <alignment vertical="center"/>
    </xf>
    <xf numFmtId="180" fontId="10" fillId="16" borderId="41" xfId="0" applyNumberFormat="1" applyFont="1" applyFill="1" applyBorder="1" applyAlignment="1">
      <alignment horizontal="center" vertical="center"/>
    </xf>
    <xf numFmtId="180" fontId="10" fillId="16" borderId="24" xfId="0" applyNumberFormat="1" applyFont="1" applyFill="1" applyBorder="1" applyAlignment="1">
      <alignment horizontal="center"/>
    </xf>
    <xf numFmtId="180" fontId="10" fillId="16" borderId="42" xfId="0" applyNumberFormat="1" applyFont="1" applyFill="1" applyBorder="1" applyAlignment="1">
      <alignment horizontal="center" vertical="center"/>
    </xf>
    <xf numFmtId="180" fontId="10" fillId="16" borderId="25" xfId="0" applyNumberFormat="1" applyFont="1" applyFill="1" applyBorder="1" applyAlignment="1">
      <alignment horizontal="center"/>
    </xf>
    <xf numFmtId="180" fontId="10" fillId="16" borderId="43" xfId="0" applyNumberFormat="1" applyFont="1" applyFill="1" applyBorder="1" applyAlignment="1">
      <alignment horizontal="center" vertical="center"/>
    </xf>
    <xf numFmtId="180" fontId="10" fillId="16" borderId="26" xfId="0" applyNumberFormat="1" applyFont="1" applyFill="1" applyBorder="1" applyAlignment="1">
      <alignment horizontal="center"/>
    </xf>
    <xf numFmtId="0" fontId="10" fillId="16" borderId="41" xfId="0" applyFont="1" applyFill="1" applyBorder="1" applyAlignment="1">
      <alignment horizontal="center" vertical="center"/>
    </xf>
    <xf numFmtId="0" fontId="10" fillId="16" borderId="24" xfId="0" applyFont="1" applyFill="1" applyBorder="1" applyAlignment="1">
      <alignment horizontal="center"/>
    </xf>
    <xf numFmtId="0" fontId="10" fillId="16" borderId="42" xfId="0" applyFont="1" applyFill="1" applyBorder="1" applyAlignment="1">
      <alignment horizontal="center" vertical="center"/>
    </xf>
    <xf numFmtId="0" fontId="10" fillId="16" borderId="25" xfId="0" applyFont="1" applyFill="1" applyBorder="1" applyAlignment="1">
      <alignment horizontal="center"/>
    </xf>
    <xf numFmtId="0" fontId="10" fillId="16" borderId="43" xfId="0" applyFont="1" applyFill="1" applyBorder="1" applyAlignment="1">
      <alignment horizontal="center" vertical="center"/>
    </xf>
    <xf numFmtId="0" fontId="10" fillId="16" borderId="26" xfId="0" applyFont="1" applyFill="1" applyBorder="1" applyAlignment="1">
      <alignment horizontal="center"/>
    </xf>
    <xf numFmtId="0" fontId="10" fillId="17" borderId="29" xfId="0" applyFont="1" applyFill="1" applyBorder="1" applyAlignment="1">
      <alignment horizontal="center"/>
    </xf>
    <xf numFmtId="0" fontId="10" fillId="17" borderId="31" xfId="0" applyFont="1" applyFill="1" applyBorder="1" applyAlignment="1">
      <alignment horizontal="center"/>
    </xf>
    <xf numFmtId="0" fontId="10" fillId="17" borderId="35" xfId="0" applyFont="1" applyFill="1" applyBorder="1">
      <alignment vertical="center"/>
    </xf>
    <xf numFmtId="0" fontId="10" fillId="18" borderId="12" xfId="0" applyFont="1" applyFill="1" applyBorder="1" applyAlignment="1">
      <alignment horizontal="center"/>
    </xf>
    <xf numFmtId="0" fontId="10" fillId="18" borderId="23" xfId="0" applyFont="1" applyFill="1" applyBorder="1" applyAlignment="1">
      <alignment horizontal="center"/>
    </xf>
    <xf numFmtId="0" fontId="10" fillId="18" borderId="19" xfId="0" applyFont="1" applyFill="1" applyBorder="1" applyAlignment="1">
      <alignment horizontal="center"/>
    </xf>
    <xf numFmtId="0" fontId="10" fillId="18" borderId="13" xfId="0" applyFont="1" applyFill="1" applyBorder="1" applyAlignment="1">
      <alignment horizontal="center"/>
    </xf>
    <xf numFmtId="0" fontId="10" fillId="18" borderId="14" xfId="0" applyFont="1" applyFill="1" applyBorder="1" applyAlignment="1">
      <alignment horizontal="center"/>
    </xf>
    <xf numFmtId="0" fontId="25" fillId="2" borderId="0" xfId="0" applyFont="1" applyFill="1" applyAlignment="1">
      <alignment horizontal="center" vertical="center"/>
    </xf>
    <xf numFmtId="0" fontId="0" fillId="11" borderId="2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0" fillId="11" borderId="0" xfId="0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0" fillId="11" borderId="7" xfId="0" applyFill="1" applyBorder="1" applyAlignment="1">
      <alignment horizontal="center" vertical="center" wrapText="1"/>
    </xf>
    <xf numFmtId="0" fontId="0" fillId="11" borderId="8" xfId="0" applyFill="1" applyBorder="1" applyAlignment="1">
      <alignment horizontal="center" vertical="center" wrapText="1"/>
    </xf>
    <xf numFmtId="0" fontId="9" fillId="12" borderId="0" xfId="0" applyFont="1" applyFill="1" applyAlignment="1">
      <alignment horizontal="center" vertical="center"/>
    </xf>
    <xf numFmtId="0" fontId="3" fillId="8" borderId="63" xfId="0" applyFont="1" applyFill="1" applyBorder="1" applyAlignment="1">
      <alignment horizontal="center" vertical="center"/>
    </xf>
    <xf numFmtId="0" fontId="3" fillId="8" borderId="64" xfId="0" applyFont="1" applyFill="1" applyBorder="1" applyAlignment="1">
      <alignment horizontal="center" vertical="center"/>
    </xf>
    <xf numFmtId="0" fontId="3" fillId="8" borderId="65" xfId="0" applyFont="1" applyFill="1" applyBorder="1" applyAlignment="1">
      <alignment horizontal="center" vertical="center"/>
    </xf>
    <xf numFmtId="0" fontId="4" fillId="9" borderId="66" xfId="0" applyFont="1" applyFill="1" applyBorder="1" applyAlignment="1">
      <alignment horizontal="center" vertical="center"/>
    </xf>
    <xf numFmtId="0" fontId="0" fillId="9" borderId="67" xfId="0" applyFill="1" applyBorder="1" applyAlignment="1">
      <alignment horizontal="center" vertical="center"/>
    </xf>
    <xf numFmtId="0" fontId="0" fillId="9" borderId="68" xfId="0" applyFill="1" applyBorder="1" applyAlignment="1">
      <alignment horizontal="center" vertical="center"/>
    </xf>
    <xf numFmtId="0" fontId="4" fillId="5" borderId="63" xfId="0" applyFont="1" applyFill="1" applyBorder="1" applyAlignment="1">
      <alignment horizontal="center" vertical="center"/>
    </xf>
    <xf numFmtId="0" fontId="4" fillId="5" borderId="64" xfId="0" applyFont="1" applyFill="1" applyBorder="1" applyAlignment="1">
      <alignment horizontal="center" vertical="center"/>
    </xf>
    <xf numFmtId="0" fontId="4" fillId="5" borderId="65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/>
    </xf>
    <xf numFmtId="0" fontId="22" fillId="13" borderId="2" xfId="0" applyFont="1" applyFill="1" applyBorder="1" applyAlignment="1">
      <alignment horizontal="center" vertical="center"/>
    </xf>
    <xf numFmtId="0" fontId="22" fillId="13" borderId="4" xfId="0" applyFont="1" applyFill="1" applyBorder="1" applyAlignment="1">
      <alignment horizontal="center" vertical="center"/>
    </xf>
    <xf numFmtId="0" fontId="22" fillId="13" borderId="0" xfId="0" applyFont="1" applyFill="1" applyBorder="1" applyAlignment="1">
      <alignment horizontal="center" vertical="center"/>
    </xf>
    <xf numFmtId="0" fontId="22" fillId="13" borderId="6" xfId="0" applyFont="1" applyFill="1" applyBorder="1" applyAlignment="1">
      <alignment horizontal="center" vertical="center"/>
    </xf>
    <xf numFmtId="0" fontId="22" fillId="13" borderId="7" xfId="0" applyFont="1" applyFill="1" applyBorder="1" applyAlignment="1">
      <alignment horizontal="center" vertical="center"/>
    </xf>
    <xf numFmtId="0" fontId="22" fillId="19" borderId="0" xfId="0" applyFont="1" applyFill="1" applyBorder="1" applyAlignment="1">
      <alignment horizontal="center" vertical="center" wrapText="1"/>
    </xf>
    <xf numFmtId="0" fontId="0" fillId="11" borderId="0" xfId="0" applyFill="1" applyBorder="1" applyAlignment="1">
      <alignment horizontal="left" vertical="center" wrapText="1"/>
    </xf>
    <xf numFmtId="0" fontId="22" fillId="19" borderId="69" xfId="0" applyFont="1" applyFill="1" applyBorder="1" applyAlignment="1">
      <alignment horizontal="center" vertical="center" wrapText="1"/>
    </xf>
    <xf numFmtId="0" fontId="22" fillId="19" borderId="70" xfId="0" applyFont="1" applyFill="1" applyBorder="1" applyAlignment="1">
      <alignment horizontal="center" vertical="center" wrapText="1"/>
    </xf>
    <xf numFmtId="0" fontId="0" fillId="11" borderId="70" xfId="0" applyFill="1" applyBorder="1" applyAlignment="1">
      <alignment horizontal="left" vertical="center" wrapText="1"/>
    </xf>
    <xf numFmtId="0" fontId="0" fillId="11" borderId="71" xfId="0" applyFill="1" applyBorder="1" applyAlignment="1">
      <alignment horizontal="left" vertical="center" wrapText="1"/>
    </xf>
    <xf numFmtId="0" fontId="22" fillId="19" borderId="72" xfId="0" applyFont="1" applyFill="1" applyBorder="1" applyAlignment="1">
      <alignment horizontal="center" vertical="center" wrapText="1"/>
    </xf>
    <xf numFmtId="0" fontId="0" fillId="11" borderId="73" xfId="0" applyFill="1" applyBorder="1" applyAlignment="1">
      <alignment horizontal="left" vertical="center" wrapText="1"/>
    </xf>
    <xf numFmtId="0" fontId="22" fillId="19" borderId="74" xfId="0" applyFont="1" applyFill="1" applyBorder="1" applyAlignment="1">
      <alignment horizontal="center" vertical="center" wrapText="1"/>
    </xf>
    <xf numFmtId="0" fontId="22" fillId="19" borderId="75" xfId="0" applyFont="1" applyFill="1" applyBorder="1" applyAlignment="1">
      <alignment horizontal="center" vertical="center" wrapText="1"/>
    </xf>
    <xf numFmtId="0" fontId="0" fillId="11" borderId="75" xfId="0" applyFill="1" applyBorder="1" applyAlignment="1">
      <alignment horizontal="left" vertical="center" wrapText="1"/>
    </xf>
    <xf numFmtId="0" fontId="0" fillId="11" borderId="76" xfId="0" applyFill="1" applyBorder="1" applyAlignment="1">
      <alignment horizontal="left" vertical="center" wrapText="1"/>
    </xf>
    <xf numFmtId="0" fontId="22" fillId="19" borderId="19" xfId="0" applyFont="1" applyFill="1" applyBorder="1" applyAlignment="1">
      <alignment horizontal="center" vertical="center" wrapText="1"/>
    </xf>
    <xf numFmtId="0" fontId="22" fillId="19" borderId="77" xfId="0" applyFont="1" applyFill="1" applyBorder="1" applyAlignment="1">
      <alignment horizontal="center" vertical="center" wrapText="1"/>
    </xf>
    <xf numFmtId="0" fontId="22" fillId="19" borderId="78" xfId="0" applyFont="1" applyFill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2">
    <dxf>
      <font>
        <condense val="0"/>
        <extend val="0"/>
        <color indexed="12"/>
      </font>
    </dxf>
    <dxf>
      <font>
        <condense val="0"/>
        <extend val="0"/>
        <color indexed="10"/>
      </font>
    </dxf>
  </dxfs>
  <tableStyles count="0" defaultTableStyle="TableStyleMedium9" defaultPivotStyle="PivotStyleLight16"/>
  <colors>
    <mruColors>
      <color rgb="FF9999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3</xdr:row>
      <xdr:rowOff>28574</xdr:rowOff>
    </xdr:from>
    <xdr:to>
      <xdr:col>5</xdr:col>
      <xdr:colOff>19050</xdr:colOff>
      <xdr:row>7</xdr:row>
      <xdr:rowOff>647699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333375" y="514349"/>
          <a:ext cx="2486025" cy="1266825"/>
        </a:xfrm>
        <a:prstGeom prst="rect">
          <a:avLst/>
        </a:prstGeom>
        <a:solidFill>
          <a:srgbClr val="9999FF"/>
        </a:solidFill>
        <a:ln>
          <a:headEnd/>
          <a:tailEnd/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36576" tIns="18288" rIns="36576" bIns="0" anchor="ctr" upright="1"/>
        <a:lstStyle/>
        <a:p>
          <a:pPr algn="ctr" rtl="0">
            <a:defRPr sz="1000"/>
          </a:pPr>
          <a:r>
            <a:rPr lang="ja-JP" altLang="en-US" sz="12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関数</a:t>
          </a:r>
        </a:p>
        <a:p>
          <a:pPr algn="ctr" rtl="0">
            <a:defRPr sz="1000"/>
          </a:pPr>
          <a:r>
            <a:rPr lang="ja-JP" altLang="en-US" sz="12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｛　</a:t>
          </a:r>
          <a:r>
            <a:rPr lang="en-US" altLang="ja-JP" sz="1400" b="1" i="0" strike="noStrike">
              <a:solidFill>
                <a:srgbClr val="FF0000"/>
              </a:solidFill>
              <a:latin typeface="ＭＳ Ｐゴシック"/>
              <a:ea typeface="ＭＳ Ｐゴシック"/>
            </a:rPr>
            <a:t>RANK</a:t>
          </a:r>
          <a:r>
            <a:rPr lang="ja-JP" altLang="en-US" sz="14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関数</a:t>
          </a:r>
          <a:r>
            <a:rPr lang="ja-JP" altLang="en-US" sz="12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  ｝</a:t>
          </a:r>
        </a:p>
        <a:p>
          <a:pPr algn="ctr" rtl="0">
            <a:defRPr sz="1000"/>
          </a:pPr>
          <a:r>
            <a:rPr lang="ja-JP" altLang="en-US" sz="12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ランク</a:t>
          </a:r>
        </a:p>
        <a:p>
          <a:pPr algn="ctr" rtl="0">
            <a:defRPr sz="1000"/>
          </a:pPr>
          <a:endParaRPr lang="ja-JP" altLang="en-US" sz="1200" b="1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14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（</a:t>
          </a:r>
          <a:r>
            <a:rPr lang="ja-JP" altLang="en-US" sz="1400" b="1" i="0" strike="noStrike">
              <a:solidFill>
                <a:srgbClr val="0000FF"/>
              </a:solidFill>
              <a:latin typeface="ＭＳ Ｐゴシック"/>
              <a:ea typeface="ＭＳ Ｐゴシック"/>
            </a:rPr>
            <a:t>統計</a:t>
          </a:r>
          <a:r>
            <a:rPr lang="ja-JP" altLang="en-US" sz="14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）</a:t>
          </a:r>
          <a:endParaRPr lang="ja-JP" altLang="en-US" sz="1200" b="1" i="0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</xdr:col>
      <xdr:colOff>257175</xdr:colOff>
      <xdr:row>44</xdr:row>
      <xdr:rowOff>28575</xdr:rowOff>
    </xdr:from>
    <xdr:to>
      <xdr:col>13</xdr:col>
      <xdr:colOff>171450</xdr:colOff>
      <xdr:row>48</xdr:row>
      <xdr:rowOff>0</xdr:rowOff>
    </xdr:to>
    <xdr:grpSp>
      <xdr:nvGrpSpPr>
        <xdr:cNvPr id="1782" name="Group 758"/>
        <xdr:cNvGrpSpPr>
          <a:grpSpLocks/>
        </xdr:cNvGrpSpPr>
      </xdr:nvGrpSpPr>
      <xdr:grpSpPr bwMode="auto">
        <a:xfrm>
          <a:off x="897255" y="9103995"/>
          <a:ext cx="5812155" cy="611505"/>
          <a:chOff x="102" y="679"/>
          <a:chExt cx="688" cy="65"/>
        </a:xfrm>
      </xdr:grpSpPr>
      <xdr:sp macro="" textlink="">
        <xdr:nvSpPr>
          <xdr:cNvPr id="1519" name="Text Box 495" descr="キャンバス"/>
          <xdr:cNvSpPr txBox="1">
            <a:spLocks noChangeArrowheads="1"/>
          </xdr:cNvSpPr>
        </xdr:nvSpPr>
        <xdr:spPr bwMode="auto">
          <a:xfrm>
            <a:off x="102" y="713"/>
            <a:ext cx="233" cy="31"/>
          </a:xfrm>
          <a:prstGeom prst="rect">
            <a:avLst/>
          </a:prstGeom>
          <a:blipFill dpi="0" rotWithShape="1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107763" dir="2700000" algn="ctr" rotWithShape="0">
              <a:srgbClr val="808080">
                <a:alpha val="50000"/>
              </a:srgbClr>
            </a:outerShdw>
          </a:effectLst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ja-JP" altLang="en-US" sz="1400" b="1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操作方法とサンプル</a:t>
            </a:r>
          </a:p>
        </xdr:txBody>
      </xdr:sp>
      <xdr:sp macro="" textlink="">
        <xdr:nvSpPr>
          <xdr:cNvPr id="1520" name="Text Box 496" descr="オーク"/>
          <xdr:cNvSpPr txBox="1">
            <a:spLocks noChangeArrowheads="1"/>
          </xdr:cNvSpPr>
        </xdr:nvSpPr>
        <xdr:spPr bwMode="auto">
          <a:xfrm>
            <a:off x="572" y="713"/>
            <a:ext cx="218" cy="31"/>
          </a:xfrm>
          <a:prstGeom prst="rect">
            <a:avLst/>
          </a:prstGeom>
          <a:blipFill dpi="0" rotWithShape="1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107763" dir="2700000" algn="ctr" rotWithShape="0">
              <a:srgbClr val="808080">
                <a:alpha val="50000"/>
              </a:srgbClr>
            </a:outerShdw>
          </a:effectLst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ja-JP" altLang="en-US" sz="1400" b="1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練　習</a:t>
            </a:r>
          </a:p>
        </xdr:txBody>
      </xdr:sp>
      <xdr:pic>
        <xdr:nvPicPr>
          <xdr:cNvPr id="1521" name="Picture 497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734" y="683"/>
            <a:ext cx="52" cy="2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35921" dir="2700000" algn="ctr" rotWithShape="0">
              <a:srgbClr val="808080"/>
            </a:outerShdw>
          </a:effectLst>
        </xdr:spPr>
      </xdr:pic>
      <xdr:pic>
        <xdr:nvPicPr>
          <xdr:cNvPr id="1522" name="Picture 498"/>
          <xdr:cNvPicPr>
            <a:picLocks noChangeAspect="1" noChangeArrowheads="1"/>
          </xdr:cNvPicPr>
        </xdr:nvPicPr>
        <xdr:blipFill>
          <a:blip xmlns:r="http://schemas.openxmlformats.org/officeDocument/2006/relationships" r:embed="rId4"/>
          <a:srcRect/>
          <a:stretch>
            <a:fillRect/>
          </a:stretch>
        </xdr:blipFill>
        <xdr:spPr bwMode="auto">
          <a:xfrm>
            <a:off x="106" y="679"/>
            <a:ext cx="49" cy="26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4</xdr:col>
      <xdr:colOff>66675</xdr:colOff>
      <xdr:row>25</xdr:row>
      <xdr:rowOff>152400</xdr:rowOff>
    </xdr:from>
    <xdr:to>
      <xdr:col>4</xdr:col>
      <xdr:colOff>295275</xdr:colOff>
      <xdr:row>27</xdr:row>
      <xdr:rowOff>38100</xdr:rowOff>
    </xdr:to>
    <xdr:pic>
      <xdr:nvPicPr>
        <xdr:cNvPr id="1700" name="Picture 67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2171700" y="6238875"/>
          <a:ext cx="228600" cy="2095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295275</xdr:colOff>
      <xdr:row>7</xdr:row>
      <xdr:rowOff>971550</xdr:rowOff>
    </xdr:from>
    <xdr:to>
      <xdr:col>4</xdr:col>
      <xdr:colOff>409575</xdr:colOff>
      <xdr:row>7</xdr:row>
      <xdr:rowOff>1590675</xdr:rowOff>
    </xdr:to>
    <xdr:sp macro="" textlink="">
      <xdr:nvSpPr>
        <xdr:cNvPr id="1783" name="Text Box 759" descr="キャンバス"/>
        <xdr:cNvSpPr txBox="1">
          <a:spLocks noChangeArrowheads="1"/>
        </xdr:cNvSpPr>
      </xdr:nvSpPr>
      <xdr:spPr bwMode="auto">
        <a:xfrm>
          <a:off x="514350" y="2105025"/>
          <a:ext cx="2000250" cy="619125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指定したセルの範囲内での</a:t>
          </a:r>
        </a:p>
        <a:p>
          <a:pPr algn="l" rtl="0">
            <a:defRPr sz="1000"/>
          </a:pPr>
          <a:r>
            <a:rPr lang="ja-JP" altLang="en-US" sz="11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数値の順位</a:t>
          </a: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を返します。</a:t>
          </a:r>
        </a:p>
        <a:p>
          <a:pPr algn="l" rtl="0"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（大きい順位・小さい順位）</a:t>
          </a:r>
        </a:p>
      </xdr:txBody>
    </xdr:sp>
    <xdr:clientData/>
  </xdr:twoCellAnchor>
  <xdr:twoCellAnchor editAs="oneCell">
    <xdr:from>
      <xdr:col>4</xdr:col>
      <xdr:colOff>495300</xdr:colOff>
      <xdr:row>61</xdr:row>
      <xdr:rowOff>152400</xdr:rowOff>
    </xdr:from>
    <xdr:to>
      <xdr:col>5</xdr:col>
      <xdr:colOff>28575</xdr:colOff>
      <xdr:row>63</xdr:row>
      <xdr:rowOff>38100</xdr:rowOff>
    </xdr:to>
    <xdr:pic>
      <xdr:nvPicPr>
        <xdr:cNvPr id="1785" name="Picture 761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2600325" y="9467850"/>
          <a:ext cx="228600" cy="209550"/>
        </a:xfrm>
        <a:prstGeom prst="rect">
          <a:avLst/>
        </a:prstGeom>
        <a:noFill/>
      </xdr:spPr>
    </xdr:pic>
    <xdr:clientData/>
  </xdr:twoCellAnchor>
  <xdr:twoCellAnchor>
    <xdr:from>
      <xdr:col>12</xdr:col>
      <xdr:colOff>76200</xdr:colOff>
      <xdr:row>55</xdr:row>
      <xdr:rowOff>28575</xdr:rowOff>
    </xdr:from>
    <xdr:to>
      <xdr:col>12</xdr:col>
      <xdr:colOff>647700</xdr:colOff>
      <xdr:row>56</xdr:row>
      <xdr:rowOff>142875</xdr:rowOff>
    </xdr:to>
    <xdr:pic>
      <xdr:nvPicPr>
        <xdr:cNvPr id="1839" name="Picture 81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6667500" y="8343900"/>
          <a:ext cx="571500" cy="2762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57150</xdr:colOff>
      <xdr:row>55</xdr:row>
      <xdr:rowOff>66675</xdr:rowOff>
    </xdr:from>
    <xdr:to>
      <xdr:col>11</xdr:col>
      <xdr:colOff>552450</xdr:colOff>
      <xdr:row>56</xdr:row>
      <xdr:rowOff>133350</xdr:rowOff>
    </xdr:to>
    <xdr:pic>
      <xdr:nvPicPr>
        <xdr:cNvPr id="1840" name="Picture 81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953125" y="8382000"/>
          <a:ext cx="495300" cy="228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pic>
    <xdr:clientData/>
  </xdr:twoCellAnchor>
  <xdr:twoCellAnchor editAs="oneCell">
    <xdr:from>
      <xdr:col>13</xdr:col>
      <xdr:colOff>600075</xdr:colOff>
      <xdr:row>67</xdr:row>
      <xdr:rowOff>76200</xdr:rowOff>
    </xdr:from>
    <xdr:to>
      <xdr:col>16</xdr:col>
      <xdr:colOff>323850</xdr:colOff>
      <xdr:row>72</xdr:row>
      <xdr:rowOff>85725</xdr:rowOff>
    </xdr:to>
    <xdr:pic>
      <xdr:nvPicPr>
        <xdr:cNvPr id="1845" name="Picture 821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7886700" y="12182475"/>
          <a:ext cx="1714500" cy="8191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95250</xdr:colOff>
      <xdr:row>87</xdr:row>
      <xdr:rowOff>47625</xdr:rowOff>
    </xdr:from>
    <xdr:to>
      <xdr:col>1</xdr:col>
      <xdr:colOff>447675</xdr:colOff>
      <xdr:row>89</xdr:row>
      <xdr:rowOff>0</xdr:rowOff>
    </xdr:to>
    <xdr:pic>
      <xdr:nvPicPr>
        <xdr:cNvPr id="1846" name="Picture 822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95250" y="13573125"/>
          <a:ext cx="571500" cy="2762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76200</xdr:colOff>
      <xdr:row>87</xdr:row>
      <xdr:rowOff>47625</xdr:rowOff>
    </xdr:from>
    <xdr:to>
      <xdr:col>9</xdr:col>
      <xdr:colOff>571500</xdr:colOff>
      <xdr:row>88</xdr:row>
      <xdr:rowOff>114300</xdr:rowOff>
    </xdr:to>
    <xdr:pic>
      <xdr:nvPicPr>
        <xdr:cNvPr id="1847" name="Picture 82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648200" y="13573125"/>
          <a:ext cx="495300" cy="228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pic>
    <xdr:clientData/>
  </xdr:twoCellAnchor>
  <xdr:twoCellAnchor>
    <xdr:from>
      <xdr:col>0</xdr:col>
      <xdr:colOff>123825</xdr:colOff>
      <xdr:row>114</xdr:row>
      <xdr:rowOff>142875</xdr:rowOff>
    </xdr:from>
    <xdr:to>
      <xdr:col>1</xdr:col>
      <xdr:colOff>476250</xdr:colOff>
      <xdr:row>116</xdr:row>
      <xdr:rowOff>47625</xdr:rowOff>
    </xdr:to>
    <xdr:pic>
      <xdr:nvPicPr>
        <xdr:cNvPr id="1859" name="Picture 83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23825" y="18040350"/>
          <a:ext cx="571500" cy="266700"/>
        </a:xfrm>
        <a:prstGeom prst="rect">
          <a:avLst/>
        </a:prstGeom>
        <a:noFill/>
      </xdr:spPr>
    </xdr:pic>
    <xdr:clientData/>
  </xdr:twoCellAnchor>
  <xdr:twoCellAnchor>
    <xdr:from>
      <xdr:col>9</xdr:col>
      <xdr:colOff>76200</xdr:colOff>
      <xdr:row>115</xdr:row>
      <xdr:rowOff>0</xdr:rowOff>
    </xdr:from>
    <xdr:to>
      <xdr:col>9</xdr:col>
      <xdr:colOff>571500</xdr:colOff>
      <xdr:row>116</xdr:row>
      <xdr:rowOff>28575</xdr:rowOff>
    </xdr:to>
    <xdr:pic>
      <xdr:nvPicPr>
        <xdr:cNvPr id="1860" name="Picture 83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648200" y="18059400"/>
          <a:ext cx="495300" cy="228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pic>
    <xdr:clientData/>
  </xdr:twoCellAnchor>
  <xdr:twoCellAnchor editAs="oneCell">
    <xdr:from>
      <xdr:col>3</xdr:col>
      <xdr:colOff>342900</xdr:colOff>
      <xdr:row>144</xdr:row>
      <xdr:rowOff>57150</xdr:rowOff>
    </xdr:from>
    <xdr:to>
      <xdr:col>5</xdr:col>
      <xdr:colOff>609600</xdr:colOff>
      <xdr:row>149</xdr:row>
      <xdr:rowOff>76200</xdr:rowOff>
    </xdr:to>
    <xdr:pic>
      <xdr:nvPicPr>
        <xdr:cNvPr id="1872" name="Picture 848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752600" y="24860250"/>
          <a:ext cx="1657350" cy="828675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447675</xdr:colOff>
      <xdr:row>9</xdr:row>
      <xdr:rowOff>152400</xdr:rowOff>
    </xdr:from>
    <xdr:to>
      <xdr:col>15</xdr:col>
      <xdr:colOff>333375</xdr:colOff>
      <xdr:row>12</xdr:row>
      <xdr:rowOff>28575</xdr:rowOff>
    </xdr:to>
    <xdr:pic>
      <xdr:nvPicPr>
        <xdr:cNvPr id="30" name="図 29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8975" y="3571875"/>
          <a:ext cx="197167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342900</xdr:colOff>
      <xdr:row>1</xdr:row>
      <xdr:rowOff>104775</xdr:rowOff>
    </xdr:from>
    <xdr:to>
      <xdr:col>18</xdr:col>
      <xdr:colOff>133350</xdr:colOff>
      <xdr:row>7</xdr:row>
      <xdr:rowOff>1809750</xdr:rowOff>
    </xdr:to>
    <xdr:pic>
      <xdr:nvPicPr>
        <xdr:cNvPr id="31" name="図 30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0" y="266700"/>
          <a:ext cx="7639050" cy="2676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371475</xdr:colOff>
      <xdr:row>18</xdr:row>
      <xdr:rowOff>47625</xdr:rowOff>
    </xdr:from>
    <xdr:to>
      <xdr:col>15</xdr:col>
      <xdr:colOff>457200</xdr:colOff>
      <xdr:row>38</xdr:row>
      <xdr:rowOff>85725</xdr:rowOff>
    </xdr:to>
    <xdr:pic>
      <xdr:nvPicPr>
        <xdr:cNvPr id="32" name="図 31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3475" y="4924425"/>
          <a:ext cx="4191000" cy="3352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257175</xdr:colOff>
      <xdr:row>66</xdr:row>
      <xdr:rowOff>28575</xdr:rowOff>
    </xdr:from>
    <xdr:to>
      <xdr:col>19</xdr:col>
      <xdr:colOff>533400</xdr:colOff>
      <xdr:row>82</xdr:row>
      <xdr:rowOff>171450</xdr:rowOff>
    </xdr:to>
    <xdr:pic>
      <xdr:nvPicPr>
        <xdr:cNvPr id="34" name="図 33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0" y="12068175"/>
          <a:ext cx="5715000" cy="2733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247650</xdr:colOff>
      <xdr:row>66</xdr:row>
      <xdr:rowOff>38101</xdr:rowOff>
    </xdr:from>
    <xdr:to>
      <xdr:col>9</xdr:col>
      <xdr:colOff>533400</xdr:colOff>
      <xdr:row>72</xdr:row>
      <xdr:rowOff>71597</xdr:rowOff>
    </xdr:to>
    <xdr:pic>
      <xdr:nvPicPr>
        <xdr:cNvPr id="38" name="図 37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12077701"/>
          <a:ext cx="4638675" cy="10050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85725</xdr:colOff>
      <xdr:row>18</xdr:row>
      <xdr:rowOff>47625</xdr:rowOff>
    </xdr:from>
    <xdr:to>
      <xdr:col>9</xdr:col>
      <xdr:colOff>352425</xdr:colOff>
      <xdr:row>22</xdr:row>
      <xdr:rowOff>28575</xdr:rowOff>
    </xdr:to>
    <xdr:pic>
      <xdr:nvPicPr>
        <xdr:cNvPr id="33" name="図 32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4924425"/>
          <a:ext cx="273367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180975</xdr:colOff>
      <xdr:row>94</xdr:row>
      <xdr:rowOff>66675</xdr:rowOff>
    </xdr:from>
    <xdr:to>
      <xdr:col>3</xdr:col>
      <xdr:colOff>600075</xdr:colOff>
      <xdr:row>99</xdr:row>
      <xdr:rowOff>114300</xdr:rowOff>
    </xdr:to>
    <xdr:pic>
      <xdr:nvPicPr>
        <xdr:cNvPr id="35" name="図 34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6735425"/>
          <a:ext cx="182880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600075</xdr:colOff>
      <xdr:row>94</xdr:row>
      <xdr:rowOff>76200</xdr:rowOff>
    </xdr:from>
    <xdr:to>
      <xdr:col>9</xdr:col>
      <xdr:colOff>9525</xdr:colOff>
      <xdr:row>100</xdr:row>
      <xdr:rowOff>0</xdr:rowOff>
    </xdr:to>
    <xdr:pic>
      <xdr:nvPicPr>
        <xdr:cNvPr id="36" name="図 35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5100" y="16744950"/>
          <a:ext cx="187642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S142"/>
  <sheetViews>
    <sheetView tabSelected="1" workbookViewId="0">
      <selection sqref="A1:G1"/>
    </sheetView>
  </sheetViews>
  <sheetFormatPr defaultRowHeight="12.75" customHeight="1"/>
  <cols>
    <col min="1" max="1" width="2.88671875" style="1" customWidth="1"/>
    <col min="2" max="2" width="6.44140625" customWidth="1"/>
    <col min="3" max="7" width="9.109375" customWidth="1"/>
    <col min="8" max="8" width="3.44140625" customWidth="1"/>
    <col min="9" max="9" width="1.44140625" customWidth="1"/>
    <col min="10" max="10" width="8.21875" customWidth="1"/>
    <col min="11" max="15" width="9.109375" customWidth="1"/>
    <col min="16" max="16" width="7.88671875" customWidth="1"/>
  </cols>
  <sheetData>
    <row r="1" spans="1:16" ht="12.75" customHeight="1">
      <c r="A1" s="121" t="s">
        <v>78</v>
      </c>
      <c r="B1" s="121"/>
      <c r="C1" s="121"/>
      <c r="D1" s="121"/>
      <c r="E1" s="121"/>
      <c r="F1" s="121"/>
      <c r="G1" s="121"/>
    </row>
    <row r="8" spans="1:16" ht="163.5" customHeight="1"/>
    <row r="9" spans="1:16" ht="16.5" customHeight="1" thickBot="1">
      <c r="C9" s="129" t="s">
        <v>76</v>
      </c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1"/>
      <c r="O9" s="6"/>
    </row>
    <row r="10" spans="1:16" s="2" customFormat="1" ht="12.75" customHeight="1" thickTop="1">
      <c r="A10" s="4"/>
      <c r="B10" s="4"/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" s="2" customFormat="1" ht="12.75" customHeight="1">
      <c r="F11" s="25" t="s">
        <v>12</v>
      </c>
      <c r="G11" s="26"/>
      <c r="H11" s="26"/>
      <c r="I11" s="26"/>
      <c r="J11" s="26"/>
      <c r="K11" s="5"/>
      <c r="L11" s="5"/>
      <c r="M11" s="5"/>
      <c r="N11" s="5"/>
      <c r="O11" s="5"/>
    </row>
    <row r="12" spans="1:16" ht="12.75" customHeight="1">
      <c r="A12" s="2"/>
      <c r="C12" s="2"/>
      <c r="D12" s="2"/>
      <c r="E12" s="3"/>
      <c r="F12" s="7"/>
      <c r="G12" s="8"/>
      <c r="H12" s="9"/>
      <c r="I12" s="2"/>
      <c r="J12" s="2"/>
      <c r="K12" s="2"/>
      <c r="L12" s="2"/>
      <c r="M12" s="2"/>
      <c r="N12" s="2"/>
      <c r="O12" s="2"/>
      <c r="P12" s="2"/>
    </row>
    <row r="14" spans="1:16" ht="12.75" customHeight="1">
      <c r="D14" s="132" t="s">
        <v>1</v>
      </c>
      <c r="E14" s="10" t="s">
        <v>3</v>
      </c>
      <c r="F14" s="11"/>
      <c r="G14" s="11"/>
      <c r="H14" s="11"/>
      <c r="I14" s="11"/>
      <c r="J14" s="11"/>
      <c r="K14" s="11"/>
      <c r="L14" s="11"/>
      <c r="M14" s="11"/>
      <c r="N14" s="12"/>
    </row>
    <row r="15" spans="1:16" ht="12.75" customHeight="1">
      <c r="D15" s="133"/>
      <c r="E15" s="13" t="s">
        <v>5</v>
      </c>
      <c r="F15" s="14"/>
      <c r="G15" s="14"/>
      <c r="H15" s="14"/>
      <c r="I15" s="14"/>
      <c r="J15" s="14"/>
      <c r="K15" s="14"/>
      <c r="L15" s="14"/>
      <c r="M15" s="14"/>
      <c r="N15" s="15"/>
    </row>
    <row r="16" spans="1:16" ht="12.75" customHeight="1">
      <c r="D16" s="133"/>
      <c r="E16" s="13" t="s">
        <v>2</v>
      </c>
      <c r="F16" s="14"/>
      <c r="G16" s="14"/>
      <c r="H16" s="14"/>
      <c r="I16" s="14"/>
      <c r="J16" s="14"/>
      <c r="K16" s="14"/>
      <c r="L16" s="14"/>
      <c r="M16" s="14"/>
      <c r="N16" s="15"/>
    </row>
    <row r="17" spans="2:14" ht="12.75" customHeight="1">
      <c r="D17" s="133"/>
      <c r="E17" s="13" t="s">
        <v>6</v>
      </c>
      <c r="F17" s="14"/>
      <c r="G17" s="14"/>
      <c r="H17" s="14"/>
      <c r="I17" s="14"/>
      <c r="J17" s="14"/>
      <c r="K17" s="14"/>
      <c r="L17" s="14"/>
      <c r="M17" s="14"/>
      <c r="N17" s="15"/>
    </row>
    <row r="18" spans="2:14" ht="12.75" customHeight="1" thickBot="1">
      <c r="D18" s="134"/>
      <c r="E18" s="16" t="s">
        <v>4</v>
      </c>
      <c r="F18" s="17"/>
      <c r="G18" s="17"/>
      <c r="H18" s="17"/>
      <c r="I18" s="17"/>
      <c r="J18" s="17"/>
      <c r="K18" s="17"/>
      <c r="L18" s="17"/>
      <c r="M18" s="17"/>
      <c r="N18" s="18"/>
    </row>
    <row r="19" spans="2:14" ht="12.75" customHeight="1" thickTop="1"/>
    <row r="21" spans="2:14" ht="18.75" customHeight="1" thickBot="1">
      <c r="B21" s="135" t="s">
        <v>13</v>
      </c>
      <c r="C21" s="136"/>
      <c r="D21" s="137"/>
      <c r="E21" s="24"/>
      <c r="F21" s="24"/>
      <c r="G21" s="24"/>
      <c r="H21" s="24"/>
    </row>
    <row r="22" spans="2:14" ht="12.75" customHeight="1" thickTop="1">
      <c r="D22" s="24"/>
      <c r="E22" s="24"/>
      <c r="F22" s="24"/>
      <c r="G22" s="24"/>
      <c r="H22" s="24"/>
    </row>
    <row r="23" spans="2:14" ht="12.75" customHeight="1">
      <c r="B23" t="s">
        <v>14</v>
      </c>
      <c r="D23" s="24"/>
      <c r="E23" s="24"/>
      <c r="F23" s="24"/>
      <c r="G23" s="24"/>
      <c r="H23" s="24"/>
    </row>
    <row r="24" spans="2:14" ht="12.75" customHeight="1">
      <c r="B24" s="94" t="s">
        <v>74</v>
      </c>
      <c r="D24" s="24"/>
      <c r="E24" s="24"/>
      <c r="F24" s="24"/>
      <c r="G24" s="24"/>
      <c r="H24" s="24"/>
    </row>
    <row r="25" spans="2:14" ht="12.75" customHeight="1">
      <c r="B25" s="19" t="s">
        <v>7</v>
      </c>
      <c r="D25" s="24"/>
      <c r="E25" s="24"/>
      <c r="F25" s="24"/>
      <c r="G25" s="24"/>
      <c r="H25" s="24"/>
    </row>
    <row r="26" spans="2:14" ht="12.75" customHeight="1">
      <c r="B26" s="19" t="s">
        <v>8</v>
      </c>
      <c r="D26" s="24"/>
      <c r="E26" s="24"/>
      <c r="F26" s="24"/>
      <c r="G26" s="24"/>
      <c r="H26" s="24"/>
    </row>
    <row r="27" spans="2:14" ht="12.75" customHeight="1">
      <c r="B27" s="19" t="s">
        <v>80</v>
      </c>
      <c r="D27" s="24"/>
      <c r="E27" s="24"/>
      <c r="F27" s="24"/>
      <c r="G27" s="24"/>
      <c r="H27" s="24"/>
    </row>
    <row r="28" spans="2:14" ht="12.75" customHeight="1">
      <c r="B28" s="20" t="s">
        <v>9</v>
      </c>
    </row>
    <row r="29" spans="2:14" ht="12.75" customHeight="1">
      <c r="B29" s="21" t="s">
        <v>17</v>
      </c>
      <c r="C29" s="4"/>
    </row>
    <row r="30" spans="2:14" ht="12.75" customHeight="1">
      <c r="B30" s="20" t="s">
        <v>79</v>
      </c>
    </row>
    <row r="31" spans="2:14" ht="12.75" customHeight="1">
      <c r="B31" s="20" t="s">
        <v>15</v>
      </c>
    </row>
    <row r="32" spans="2:14" ht="12.75" customHeight="1">
      <c r="B32" s="20" t="s">
        <v>16</v>
      </c>
    </row>
    <row r="33" spans="2:19" ht="12.75" customHeight="1">
      <c r="B33" s="20" t="s">
        <v>10</v>
      </c>
    </row>
    <row r="34" spans="2:19" ht="12.75" customHeight="1">
      <c r="B34" s="20"/>
    </row>
    <row r="36" spans="2:19" s="4" customFormat="1" ht="12.75" customHeight="1">
      <c r="C36" s="138" t="s">
        <v>38</v>
      </c>
      <c r="D36" s="139"/>
      <c r="E36" s="139"/>
      <c r="F36" s="139"/>
      <c r="G36" s="140"/>
    </row>
    <row r="37" spans="2:19" s="4" customFormat="1" ht="12.75" customHeight="1" thickBot="1">
      <c r="C37" s="141"/>
      <c r="D37" s="142"/>
      <c r="E37" s="142"/>
      <c r="F37" s="142"/>
      <c r="G37" s="143"/>
      <c r="P37"/>
    </row>
    <row r="38" spans="2:19" ht="12.75" customHeight="1" thickTop="1"/>
    <row r="39" spans="2:19" ht="12.75" customHeight="1" thickBot="1"/>
    <row r="40" spans="2:19" ht="12.75" customHeight="1">
      <c r="C40" s="152" t="s">
        <v>81</v>
      </c>
      <c r="D40" s="153"/>
      <c r="E40" s="153"/>
      <c r="F40" s="162"/>
      <c r="G40" s="154" t="s">
        <v>82</v>
      </c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5"/>
    </row>
    <row r="41" spans="2:19" ht="12.75" customHeight="1">
      <c r="C41" s="156"/>
      <c r="D41" s="150"/>
      <c r="E41" s="150"/>
      <c r="F41" s="163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7"/>
    </row>
    <row r="42" spans="2:19" ht="12.75" customHeight="1">
      <c r="C42" s="156"/>
      <c r="D42" s="150"/>
      <c r="E42" s="150"/>
      <c r="F42" s="163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7"/>
    </row>
    <row r="43" spans="2:19" ht="12.75" customHeight="1">
      <c r="C43" s="156"/>
      <c r="D43" s="150"/>
      <c r="E43" s="150"/>
      <c r="F43" s="163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7"/>
    </row>
    <row r="44" spans="2:19" ht="12.75" customHeight="1" thickBot="1">
      <c r="C44" s="158"/>
      <c r="D44" s="159"/>
      <c r="E44" s="159"/>
      <c r="F44" s="164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1"/>
    </row>
    <row r="51" spans="2:14" ht="12.75" customHeight="1">
      <c r="K51" s="128" t="s">
        <v>0</v>
      </c>
      <c r="L51" s="128"/>
      <c r="M51" s="128"/>
      <c r="N51" s="128"/>
    </row>
    <row r="54" spans="2:14" ht="12.75" customHeight="1">
      <c r="B54" s="22" t="s">
        <v>40</v>
      </c>
      <c r="C54" s="23"/>
      <c r="D54" s="23"/>
      <c r="E54" s="23"/>
      <c r="J54" s="22" t="s">
        <v>40</v>
      </c>
      <c r="K54" s="23"/>
      <c r="L54" s="23"/>
      <c r="M54" s="23"/>
    </row>
    <row r="57" spans="2:14" ht="12.75" customHeight="1" thickBot="1">
      <c r="B57" s="27" t="s">
        <v>33</v>
      </c>
    </row>
    <row r="58" spans="2:14" ht="22.5" customHeight="1" thickTop="1">
      <c r="C58" t="s">
        <v>48</v>
      </c>
      <c r="G58" s="45"/>
      <c r="J58" s="113" t="s">
        <v>21</v>
      </c>
      <c r="K58" s="114" t="s">
        <v>23</v>
      </c>
      <c r="L58" s="115" t="s">
        <v>41</v>
      </c>
      <c r="M58" s="63" t="s">
        <v>45</v>
      </c>
    </row>
    <row r="59" spans="2:14" ht="12.75" customHeight="1">
      <c r="G59" s="46"/>
      <c r="H59" s="32"/>
      <c r="I59" s="32"/>
      <c r="J59" s="54" t="s">
        <v>24</v>
      </c>
      <c r="K59" s="55">
        <v>120800</v>
      </c>
      <c r="L59" s="58"/>
      <c r="M59" s="64">
        <f>_xlfn.RANK.EQ(K59,$K$59:$K$66)</f>
        <v>3</v>
      </c>
    </row>
    <row r="60" spans="2:14" ht="12.75" customHeight="1">
      <c r="G60" s="24"/>
      <c r="J60" s="52" t="s">
        <v>25</v>
      </c>
      <c r="K60" s="56">
        <v>56000</v>
      </c>
      <c r="L60" s="59"/>
      <c r="M60" s="61">
        <f t="shared" ref="M60:M66" si="0">_xlfn.RANK.EQ(K60,$K$59:$K$66)</f>
        <v>6</v>
      </c>
    </row>
    <row r="61" spans="2:14" ht="12.75" customHeight="1" thickBot="1">
      <c r="B61" s="33" t="s">
        <v>34</v>
      </c>
      <c r="J61" s="52" t="s">
        <v>26</v>
      </c>
      <c r="K61" s="56">
        <v>98500</v>
      </c>
      <c r="L61" s="59"/>
      <c r="M61" s="61">
        <f t="shared" si="0"/>
        <v>4</v>
      </c>
    </row>
    <row r="62" spans="2:14" ht="12.75" customHeight="1" thickTop="1">
      <c r="B62" s="34"/>
      <c r="C62" t="s">
        <v>18</v>
      </c>
      <c r="J62" s="52" t="s">
        <v>27</v>
      </c>
      <c r="K62" s="56">
        <v>209000</v>
      </c>
      <c r="L62" s="59"/>
      <c r="M62" s="61">
        <f t="shared" si="0"/>
        <v>2</v>
      </c>
    </row>
    <row r="63" spans="2:14" ht="12.75" customHeight="1">
      <c r="B63" s="34"/>
      <c r="C63" t="s">
        <v>19</v>
      </c>
      <c r="J63" s="52" t="s">
        <v>28</v>
      </c>
      <c r="K63" s="56">
        <v>4800</v>
      </c>
      <c r="L63" s="59"/>
      <c r="M63" s="61">
        <f t="shared" si="0"/>
        <v>8</v>
      </c>
    </row>
    <row r="64" spans="2:14" ht="12.75" customHeight="1">
      <c r="B64" s="34"/>
      <c r="C64" t="s">
        <v>39</v>
      </c>
      <c r="J64" s="52" t="s">
        <v>29</v>
      </c>
      <c r="K64" s="56">
        <v>590300</v>
      </c>
      <c r="L64" s="59"/>
      <c r="M64" s="61">
        <f t="shared" si="0"/>
        <v>1</v>
      </c>
    </row>
    <row r="65" spans="2:15" ht="12.75" customHeight="1">
      <c r="B65" s="34"/>
      <c r="C65" t="s">
        <v>46</v>
      </c>
      <c r="J65" s="52" t="s">
        <v>30</v>
      </c>
      <c r="K65" s="56">
        <v>76900</v>
      </c>
      <c r="L65" s="59"/>
      <c r="M65" s="61">
        <f t="shared" si="0"/>
        <v>5</v>
      </c>
    </row>
    <row r="66" spans="2:15" ht="12.75" customHeight="1" thickBot="1">
      <c r="B66" s="34"/>
      <c r="C66" t="s">
        <v>47</v>
      </c>
      <c r="J66" s="53" t="s">
        <v>31</v>
      </c>
      <c r="K66" s="57">
        <v>13900</v>
      </c>
      <c r="L66" s="60"/>
      <c r="M66" s="62">
        <f t="shared" si="0"/>
        <v>7</v>
      </c>
    </row>
    <row r="67" spans="2:15" ht="12.75" customHeight="1">
      <c r="J67" s="31"/>
    </row>
    <row r="68" spans="2:15" ht="12.75" customHeight="1">
      <c r="J68" s="31"/>
    </row>
    <row r="69" spans="2:15" ht="12.75" customHeight="1">
      <c r="J69" s="31"/>
    </row>
    <row r="70" spans="2:15" ht="12.75" customHeight="1">
      <c r="B70" s="34"/>
      <c r="J70" s="31"/>
    </row>
    <row r="71" spans="2:15" ht="12.75" customHeight="1">
      <c r="B71" s="34"/>
      <c r="J71" s="31"/>
    </row>
    <row r="72" spans="2:15" ht="12.75" customHeight="1">
      <c r="B72" s="34"/>
      <c r="J72" s="31"/>
    </row>
    <row r="73" spans="2:15" ht="12.75" customHeight="1">
      <c r="J73" s="31"/>
    </row>
    <row r="74" spans="2:15" ht="12.75" customHeight="1">
      <c r="C74" t="s">
        <v>20</v>
      </c>
      <c r="F74" s="65" t="s">
        <v>75</v>
      </c>
      <c r="G74" s="66"/>
      <c r="H74" s="66"/>
      <c r="I74" s="66"/>
      <c r="J74" s="66"/>
      <c r="K74" s="72"/>
    </row>
    <row r="75" spans="2:15" ht="12.75" customHeight="1">
      <c r="F75" s="67" t="s">
        <v>49</v>
      </c>
      <c r="G75" s="68"/>
      <c r="H75" s="68"/>
      <c r="I75" s="68"/>
      <c r="J75" s="68"/>
      <c r="K75" s="73"/>
    </row>
    <row r="76" spans="2:15" ht="12.75" customHeight="1">
      <c r="J76" s="31"/>
    </row>
    <row r="77" spans="2:15" ht="12.75" customHeight="1">
      <c r="J77" s="31"/>
      <c r="K77" s="46"/>
      <c r="L77" s="51"/>
      <c r="M77" s="30"/>
      <c r="N77" s="48"/>
      <c r="O77" s="49"/>
    </row>
    <row r="78" spans="2:15" ht="12.75" customHeight="1">
      <c r="C78" s="144" t="s">
        <v>36</v>
      </c>
      <c r="D78" s="145"/>
      <c r="E78" s="122" t="s">
        <v>37</v>
      </c>
      <c r="F78" s="122"/>
      <c r="G78" s="122"/>
      <c r="H78" s="122"/>
      <c r="I78" s="122"/>
      <c r="J78" s="122"/>
      <c r="K78" s="123"/>
      <c r="L78" s="51"/>
      <c r="M78" s="30"/>
      <c r="N78" s="48"/>
      <c r="O78" s="49"/>
    </row>
    <row r="79" spans="2:15" ht="12.75" customHeight="1">
      <c r="C79" s="146"/>
      <c r="D79" s="147"/>
      <c r="E79" s="124"/>
      <c r="F79" s="124"/>
      <c r="G79" s="124"/>
      <c r="H79" s="124"/>
      <c r="I79" s="124"/>
      <c r="J79" s="124"/>
      <c r="K79" s="125"/>
      <c r="L79" s="51"/>
      <c r="M79" s="30"/>
      <c r="N79" s="48"/>
      <c r="O79" s="49"/>
    </row>
    <row r="80" spans="2:15" ht="12.75" customHeight="1">
      <c r="C80" s="146"/>
      <c r="D80" s="147"/>
      <c r="E80" s="124"/>
      <c r="F80" s="124"/>
      <c r="G80" s="124"/>
      <c r="H80" s="124"/>
      <c r="I80" s="124"/>
      <c r="J80" s="124"/>
      <c r="K80" s="125"/>
      <c r="L80" s="51"/>
      <c r="M80" s="30"/>
      <c r="N80" s="48"/>
      <c r="O80" s="49"/>
    </row>
    <row r="81" spans="2:15" ht="12.75" customHeight="1">
      <c r="C81" s="146"/>
      <c r="D81" s="147"/>
      <c r="E81" s="124"/>
      <c r="F81" s="124"/>
      <c r="G81" s="124"/>
      <c r="H81" s="124"/>
      <c r="I81" s="124"/>
      <c r="J81" s="124"/>
      <c r="K81" s="125"/>
      <c r="L81" s="51"/>
      <c r="M81" s="30"/>
      <c r="N81" s="48"/>
      <c r="O81" s="49"/>
    </row>
    <row r="82" spans="2:15" ht="12.75" customHeight="1" thickBot="1">
      <c r="C82" s="148"/>
      <c r="D82" s="149"/>
      <c r="E82" s="126"/>
      <c r="F82" s="126"/>
      <c r="G82" s="126"/>
      <c r="H82" s="126"/>
      <c r="I82" s="126"/>
      <c r="J82" s="126"/>
      <c r="K82" s="127"/>
      <c r="L82" s="51"/>
      <c r="M82" s="30"/>
      <c r="N82" s="48"/>
      <c r="O82" s="49"/>
    </row>
    <row r="83" spans="2:15" ht="20.25" customHeight="1" thickTop="1">
      <c r="J83" s="31"/>
      <c r="K83" s="46"/>
      <c r="L83" s="51"/>
      <c r="M83" s="30"/>
      <c r="N83" s="48"/>
      <c r="O83" s="49"/>
    </row>
    <row r="84" spans="2:15" ht="12.75" customHeight="1">
      <c r="B84" s="22" t="s">
        <v>40</v>
      </c>
      <c r="C84" s="23"/>
      <c r="D84" s="23"/>
      <c r="E84" s="23"/>
      <c r="J84" s="22" t="s">
        <v>40</v>
      </c>
      <c r="K84" s="23"/>
      <c r="L84" s="23"/>
      <c r="M84" s="23"/>
      <c r="N84" s="48"/>
      <c r="O84" s="49"/>
    </row>
    <row r="85" spans="2:15" ht="12.75" customHeight="1">
      <c r="J85" s="31"/>
      <c r="K85" s="46"/>
      <c r="L85" s="51"/>
      <c r="M85" s="30"/>
      <c r="N85" s="48"/>
      <c r="O85" s="49"/>
    </row>
    <row r="86" spans="2:15" ht="12.75" customHeight="1">
      <c r="J86" s="31"/>
      <c r="K86" s="128" t="s">
        <v>0</v>
      </c>
      <c r="L86" s="128"/>
      <c r="M86" s="128"/>
      <c r="N86" s="128"/>
      <c r="O86" s="49"/>
    </row>
    <row r="87" spans="2:15" ht="12.75" customHeight="1">
      <c r="J87" s="31"/>
    </row>
    <row r="88" spans="2:15" ht="12.75" customHeight="1">
      <c r="C88" t="s">
        <v>43</v>
      </c>
      <c r="D88" s="50" t="s">
        <v>51</v>
      </c>
      <c r="E88" s="44"/>
      <c r="F88" s="44"/>
      <c r="G88" s="44"/>
      <c r="J88" s="31"/>
      <c r="K88" t="s">
        <v>43</v>
      </c>
      <c r="L88" s="50" t="s">
        <v>51</v>
      </c>
    </row>
    <row r="89" spans="2:15" ht="12.75" customHeight="1">
      <c r="C89" t="s">
        <v>44</v>
      </c>
      <c r="D89" s="50" t="s">
        <v>52</v>
      </c>
      <c r="E89" s="46"/>
      <c r="F89" s="46"/>
      <c r="G89" s="47"/>
      <c r="J89" s="31"/>
      <c r="K89" t="s">
        <v>44</v>
      </c>
      <c r="L89" s="50" t="s">
        <v>52</v>
      </c>
    </row>
    <row r="90" spans="2:15" ht="12.75" customHeight="1">
      <c r="D90" s="50"/>
      <c r="E90" s="46"/>
      <c r="F90" s="46"/>
      <c r="G90" s="47"/>
      <c r="J90" s="31"/>
      <c r="L90" s="50"/>
    </row>
    <row r="91" spans="2:15" ht="12.75" customHeight="1">
      <c r="D91" s="50"/>
      <c r="E91" s="46"/>
      <c r="F91" s="46"/>
      <c r="G91" s="47"/>
      <c r="J91" s="31"/>
      <c r="L91" s="50"/>
    </row>
    <row r="92" spans="2:15" ht="12.75" customHeight="1">
      <c r="D92" s="50"/>
      <c r="E92" s="46"/>
      <c r="F92" s="46"/>
      <c r="G92" s="47"/>
      <c r="J92" s="31"/>
      <c r="L92" s="50"/>
    </row>
    <row r="93" spans="2:15" ht="12.75" customHeight="1" thickBot="1">
      <c r="D93" s="50"/>
      <c r="E93" s="46"/>
      <c r="F93" s="46"/>
      <c r="G93" s="47"/>
      <c r="J93" s="31"/>
      <c r="L93" s="50"/>
    </row>
    <row r="94" spans="2:15" ht="12.75" customHeight="1">
      <c r="D94" s="50"/>
      <c r="E94" s="46"/>
      <c r="F94" s="46"/>
      <c r="G94" s="47"/>
      <c r="J94" s="31"/>
      <c r="K94" s="116" t="s">
        <v>53</v>
      </c>
      <c r="L94" s="117" t="s">
        <v>42</v>
      </c>
      <c r="M94" s="118" t="s">
        <v>21</v>
      </c>
      <c r="N94" s="119" t="s">
        <v>22</v>
      </c>
      <c r="O94" s="120" t="s">
        <v>50</v>
      </c>
    </row>
    <row r="95" spans="2:15" ht="12.75" customHeight="1">
      <c r="D95" s="50"/>
      <c r="E95" s="46"/>
      <c r="F95" s="46"/>
      <c r="G95" s="47"/>
      <c r="J95" s="31"/>
      <c r="K95" s="107"/>
      <c r="L95" s="108"/>
      <c r="M95" s="41" t="s">
        <v>24</v>
      </c>
      <c r="N95" s="35">
        <v>20581</v>
      </c>
      <c r="O95" s="69">
        <v>57</v>
      </c>
    </row>
    <row r="96" spans="2:15" ht="12.75" customHeight="1">
      <c r="D96" s="50"/>
      <c r="E96" s="46"/>
      <c r="F96" s="46"/>
      <c r="G96" s="47"/>
      <c r="J96" s="31"/>
      <c r="K96" s="109"/>
      <c r="L96" s="110"/>
      <c r="M96" s="42" t="s">
        <v>25</v>
      </c>
      <c r="N96" s="36">
        <v>28731</v>
      </c>
      <c r="O96" s="28">
        <v>63</v>
      </c>
    </row>
    <row r="97" spans="3:15" ht="12.75" customHeight="1">
      <c r="D97" s="50"/>
      <c r="E97" s="46"/>
      <c r="F97" s="46"/>
      <c r="G97" s="47"/>
      <c r="J97" s="31"/>
      <c r="K97" s="109"/>
      <c r="L97" s="110"/>
      <c r="M97" s="42" t="s">
        <v>26</v>
      </c>
      <c r="N97" s="36">
        <v>24643</v>
      </c>
      <c r="O97" s="28">
        <v>89</v>
      </c>
    </row>
    <row r="98" spans="3:15" ht="12.75" customHeight="1">
      <c r="D98" s="50"/>
      <c r="E98" s="46"/>
      <c r="F98" s="46"/>
      <c r="G98" s="47"/>
      <c r="J98" s="31"/>
      <c r="K98" s="109"/>
      <c r="L98" s="110"/>
      <c r="M98" s="42" t="s">
        <v>27</v>
      </c>
      <c r="N98" s="36">
        <v>21825</v>
      </c>
      <c r="O98" s="28">
        <v>48</v>
      </c>
    </row>
    <row r="99" spans="3:15" ht="12.75" customHeight="1">
      <c r="J99" s="31"/>
      <c r="K99" s="109"/>
      <c r="L99" s="110"/>
      <c r="M99" s="42" t="s">
        <v>28</v>
      </c>
      <c r="N99" s="36">
        <v>22968</v>
      </c>
      <c r="O99" s="28">
        <v>55</v>
      </c>
    </row>
    <row r="100" spans="3:15" ht="12.75" customHeight="1" thickBot="1">
      <c r="J100" s="31"/>
      <c r="K100" s="109"/>
      <c r="L100" s="110"/>
      <c r="M100" s="42" t="s">
        <v>29</v>
      </c>
      <c r="N100" s="36">
        <v>25781</v>
      </c>
      <c r="O100" s="28">
        <v>67</v>
      </c>
    </row>
    <row r="101" spans="3:15" ht="12.75" customHeight="1">
      <c r="C101" s="116" t="s">
        <v>53</v>
      </c>
      <c r="D101" s="117" t="s">
        <v>42</v>
      </c>
      <c r="E101" s="118" t="s">
        <v>21</v>
      </c>
      <c r="F101" s="119" t="s">
        <v>22</v>
      </c>
      <c r="G101" s="120" t="s">
        <v>50</v>
      </c>
      <c r="J101" s="31"/>
      <c r="K101" s="109"/>
      <c r="L101" s="110"/>
      <c r="M101" s="42" t="s">
        <v>30</v>
      </c>
      <c r="N101" s="36">
        <v>27735</v>
      </c>
      <c r="O101" s="28">
        <v>83</v>
      </c>
    </row>
    <row r="102" spans="3:15" ht="12.75" customHeight="1" thickBot="1">
      <c r="C102" s="101">
        <f>_xlfn.RANK.EQ(G102,$G$102:$G$109,0)</f>
        <v>5</v>
      </c>
      <c r="D102" s="102">
        <f>_xlfn.RANK.EQ(F102,$F$102:$F$109,1)</f>
        <v>1</v>
      </c>
      <c r="E102" s="41" t="s">
        <v>24</v>
      </c>
      <c r="F102" s="38">
        <v>20581</v>
      </c>
      <c r="G102" s="69">
        <v>57</v>
      </c>
      <c r="J102" s="31"/>
      <c r="K102" s="111"/>
      <c r="L102" s="112"/>
      <c r="M102" s="43" t="s">
        <v>31</v>
      </c>
      <c r="N102" s="37">
        <v>25262</v>
      </c>
      <c r="O102" s="29">
        <v>49</v>
      </c>
    </row>
    <row r="103" spans="3:15" ht="12.75" customHeight="1">
      <c r="C103" s="103">
        <f t="shared" ref="C103:C109" si="1">_xlfn.RANK.EQ(G103,$G$102:$G$109,0)</f>
        <v>4</v>
      </c>
      <c r="D103" s="104">
        <f t="shared" ref="D103:D109" si="2">_xlfn.RANK.EQ(F103,$F$102:$F$109,1)</f>
        <v>8</v>
      </c>
      <c r="E103" s="42" t="s">
        <v>25</v>
      </c>
      <c r="F103" s="39">
        <v>28731</v>
      </c>
      <c r="G103" s="70">
        <v>63</v>
      </c>
      <c r="J103" s="31"/>
    </row>
    <row r="104" spans="3:15" ht="12.75" customHeight="1">
      <c r="C104" s="103">
        <f t="shared" si="1"/>
        <v>1</v>
      </c>
      <c r="D104" s="104">
        <f t="shared" si="2"/>
        <v>4</v>
      </c>
      <c r="E104" s="42" t="s">
        <v>26</v>
      </c>
      <c r="F104" s="39">
        <v>24643</v>
      </c>
      <c r="G104" s="70">
        <v>89</v>
      </c>
      <c r="J104" s="31"/>
    </row>
    <row r="105" spans="3:15" ht="12.75" customHeight="1">
      <c r="C105" s="103">
        <f t="shared" si="1"/>
        <v>8</v>
      </c>
      <c r="D105" s="104">
        <f t="shared" si="2"/>
        <v>2</v>
      </c>
      <c r="E105" s="42" t="s">
        <v>27</v>
      </c>
      <c r="F105" s="39">
        <v>21825</v>
      </c>
      <c r="G105" s="70">
        <v>48</v>
      </c>
      <c r="J105" s="31"/>
    </row>
    <row r="106" spans="3:15" ht="12.75" customHeight="1">
      <c r="C106" s="103">
        <f t="shared" si="1"/>
        <v>6</v>
      </c>
      <c r="D106" s="104">
        <f t="shared" si="2"/>
        <v>3</v>
      </c>
      <c r="E106" s="42" t="s">
        <v>28</v>
      </c>
      <c r="F106" s="39">
        <v>22968</v>
      </c>
      <c r="G106" s="70">
        <v>55</v>
      </c>
      <c r="J106" s="31"/>
    </row>
    <row r="107" spans="3:15" ht="12.75" customHeight="1">
      <c r="C107" s="103">
        <f t="shared" si="1"/>
        <v>3</v>
      </c>
      <c r="D107" s="104">
        <f t="shared" si="2"/>
        <v>6</v>
      </c>
      <c r="E107" s="42" t="s">
        <v>29</v>
      </c>
      <c r="F107" s="39">
        <v>25781</v>
      </c>
      <c r="G107" s="70">
        <v>67</v>
      </c>
      <c r="J107" s="31"/>
    </row>
    <row r="108" spans="3:15" ht="12.75" customHeight="1">
      <c r="C108" s="103">
        <f t="shared" si="1"/>
        <v>2</v>
      </c>
      <c r="D108" s="104">
        <f t="shared" si="2"/>
        <v>7</v>
      </c>
      <c r="E108" s="42" t="s">
        <v>30</v>
      </c>
      <c r="F108" s="39">
        <v>27735</v>
      </c>
      <c r="G108" s="70">
        <v>83</v>
      </c>
      <c r="J108" s="31"/>
    </row>
    <row r="109" spans="3:15" ht="12.75" customHeight="1" thickBot="1">
      <c r="C109" s="105">
        <f t="shared" si="1"/>
        <v>7</v>
      </c>
      <c r="D109" s="106">
        <f t="shared" si="2"/>
        <v>5</v>
      </c>
      <c r="E109" s="43" t="s">
        <v>31</v>
      </c>
      <c r="F109" s="40">
        <v>25262</v>
      </c>
      <c r="G109" s="71">
        <v>49</v>
      </c>
      <c r="J109" s="31"/>
    </row>
    <row r="110" spans="3:15" ht="12.75" customHeight="1">
      <c r="J110" s="31"/>
    </row>
    <row r="111" spans="3:15" ht="12.75" customHeight="1">
      <c r="J111" s="31"/>
    </row>
    <row r="112" spans="3:15" ht="12.75" customHeight="1">
      <c r="J112" s="31"/>
    </row>
    <row r="113" spans="2:15" ht="12.75" customHeight="1">
      <c r="B113" s="22" t="s">
        <v>40</v>
      </c>
      <c r="C113" s="23"/>
      <c r="D113" s="23"/>
      <c r="E113" s="23"/>
      <c r="J113" s="22" t="s">
        <v>40</v>
      </c>
      <c r="K113" s="23"/>
      <c r="L113" s="23"/>
      <c r="M113" s="23"/>
    </row>
    <row r="114" spans="2:15" ht="12.75" customHeight="1">
      <c r="J114" s="31"/>
    </row>
    <row r="115" spans="2:15" ht="12.75" customHeight="1">
      <c r="J115" s="31"/>
    </row>
    <row r="116" spans="2:15" ht="15.75" customHeight="1">
      <c r="C116" t="s">
        <v>66</v>
      </c>
      <c r="K116" t="s">
        <v>66</v>
      </c>
    </row>
    <row r="118" spans="2:15" ht="18" customHeight="1"/>
    <row r="119" spans="2:15" ht="12.75" customHeight="1">
      <c r="K119" s="128" t="s">
        <v>0</v>
      </c>
      <c r="L119" s="128"/>
      <c r="M119" s="128"/>
      <c r="N119" s="128"/>
    </row>
    <row r="121" spans="2:15" ht="12.75" customHeight="1" thickBot="1"/>
    <row r="122" spans="2:15" ht="12.75" customHeight="1" thickTop="1">
      <c r="B122" s="77" t="s">
        <v>55</v>
      </c>
      <c r="C122" s="78" t="s">
        <v>63</v>
      </c>
      <c r="D122" s="78" t="s">
        <v>54</v>
      </c>
      <c r="E122" s="79" t="s">
        <v>11</v>
      </c>
      <c r="F122" s="80" t="s">
        <v>64</v>
      </c>
      <c r="G122" s="81" t="s">
        <v>65</v>
      </c>
      <c r="J122" s="77" t="s">
        <v>55</v>
      </c>
      <c r="K122" s="78" t="s">
        <v>63</v>
      </c>
      <c r="L122" s="78" t="s">
        <v>54</v>
      </c>
      <c r="M122" s="79" t="s">
        <v>11</v>
      </c>
      <c r="N122" s="80" t="s">
        <v>64</v>
      </c>
      <c r="O122" s="81" t="s">
        <v>65</v>
      </c>
    </row>
    <row r="123" spans="2:15" ht="12.75" customHeight="1">
      <c r="B123" s="90" t="s">
        <v>56</v>
      </c>
      <c r="C123" s="74">
        <v>78</v>
      </c>
      <c r="D123" s="74">
        <v>81</v>
      </c>
      <c r="E123" s="58">
        <f>SUM(C123:D123)</f>
        <v>159</v>
      </c>
      <c r="F123" s="98">
        <f>_xlfn.RANK.EQ(D123,$D$123:$D$130,0)</f>
        <v>3</v>
      </c>
      <c r="G123" s="95">
        <f>_xlfn.RANK.EQ(E123,$E$123:$E$130,0)</f>
        <v>2</v>
      </c>
      <c r="J123" s="90" t="s">
        <v>56</v>
      </c>
      <c r="K123" s="74">
        <v>78</v>
      </c>
      <c r="L123" s="74">
        <v>81</v>
      </c>
      <c r="M123" s="58"/>
      <c r="N123" s="98"/>
      <c r="O123" s="95"/>
    </row>
    <row r="124" spans="2:15" ht="12.75" customHeight="1">
      <c r="B124" s="91" t="s">
        <v>57</v>
      </c>
      <c r="C124" s="75">
        <v>86</v>
      </c>
      <c r="D124" s="75">
        <v>69</v>
      </c>
      <c r="E124" s="59">
        <f t="shared" ref="E124:E130" si="3">SUM(C124:D124)</f>
        <v>155</v>
      </c>
      <c r="F124" s="99">
        <f t="shared" ref="F124:F130" si="4">_xlfn.RANK.EQ(D124,$D$123:$D$130,0)</f>
        <v>6</v>
      </c>
      <c r="G124" s="96">
        <f t="shared" ref="G124:G130" si="5">_xlfn.RANK.EQ(E124,$E$123:$E$130,0)</f>
        <v>6</v>
      </c>
      <c r="J124" s="91" t="s">
        <v>57</v>
      </c>
      <c r="K124" s="75">
        <v>86</v>
      </c>
      <c r="L124" s="75">
        <v>69</v>
      </c>
      <c r="M124" s="59"/>
      <c r="N124" s="99"/>
      <c r="O124" s="96"/>
    </row>
    <row r="125" spans="2:15" ht="12.75" customHeight="1">
      <c r="B125" s="91" t="s">
        <v>58</v>
      </c>
      <c r="C125" s="75">
        <v>68</v>
      </c>
      <c r="D125" s="75">
        <v>90</v>
      </c>
      <c r="E125" s="59">
        <f t="shared" si="3"/>
        <v>158</v>
      </c>
      <c r="F125" s="99">
        <f t="shared" si="4"/>
        <v>1</v>
      </c>
      <c r="G125" s="96">
        <f t="shared" si="5"/>
        <v>4</v>
      </c>
      <c r="J125" s="91" t="s">
        <v>58</v>
      </c>
      <c r="K125" s="75">
        <v>68</v>
      </c>
      <c r="L125" s="75">
        <v>90</v>
      </c>
      <c r="M125" s="59"/>
      <c r="N125" s="99"/>
      <c r="O125" s="96"/>
    </row>
    <row r="126" spans="2:15" ht="12.75" customHeight="1">
      <c r="B126" s="91" t="s">
        <v>59</v>
      </c>
      <c r="C126" s="75">
        <v>81</v>
      </c>
      <c r="D126" s="75">
        <v>78</v>
      </c>
      <c r="E126" s="59">
        <f t="shared" si="3"/>
        <v>159</v>
      </c>
      <c r="F126" s="99">
        <f t="shared" si="4"/>
        <v>5</v>
      </c>
      <c r="G126" s="96">
        <f t="shared" si="5"/>
        <v>2</v>
      </c>
      <c r="J126" s="91" t="s">
        <v>59</v>
      </c>
      <c r="K126" s="75">
        <v>81</v>
      </c>
      <c r="L126" s="75">
        <v>78</v>
      </c>
      <c r="M126" s="59"/>
      <c r="N126" s="99"/>
      <c r="O126" s="96"/>
    </row>
    <row r="127" spans="2:15" ht="12.75" customHeight="1">
      <c r="B127" s="91" t="s">
        <v>32</v>
      </c>
      <c r="C127" s="75">
        <v>69</v>
      </c>
      <c r="D127" s="75">
        <v>88</v>
      </c>
      <c r="E127" s="59">
        <f t="shared" si="3"/>
        <v>157</v>
      </c>
      <c r="F127" s="99">
        <f t="shared" si="4"/>
        <v>2</v>
      </c>
      <c r="G127" s="96">
        <f t="shared" si="5"/>
        <v>5</v>
      </c>
      <c r="J127" s="91" t="s">
        <v>32</v>
      </c>
      <c r="K127" s="75">
        <v>69</v>
      </c>
      <c r="L127" s="75">
        <v>88</v>
      </c>
      <c r="M127" s="59"/>
      <c r="N127" s="99"/>
      <c r="O127" s="96"/>
    </row>
    <row r="128" spans="2:15" ht="12.75" customHeight="1">
      <c r="B128" s="91" t="s">
        <v>60</v>
      </c>
      <c r="C128" s="75">
        <v>70</v>
      </c>
      <c r="D128" s="75">
        <v>80</v>
      </c>
      <c r="E128" s="59">
        <f t="shared" si="3"/>
        <v>150</v>
      </c>
      <c r="F128" s="99">
        <f t="shared" si="4"/>
        <v>4</v>
      </c>
      <c r="G128" s="96">
        <f t="shared" si="5"/>
        <v>7</v>
      </c>
      <c r="J128" s="91" t="s">
        <v>60</v>
      </c>
      <c r="K128" s="75">
        <v>70</v>
      </c>
      <c r="L128" s="75">
        <v>80</v>
      </c>
      <c r="M128" s="59"/>
      <c r="N128" s="99"/>
      <c r="O128" s="96"/>
    </row>
    <row r="129" spans="2:15" ht="12.75" customHeight="1">
      <c r="B129" s="91" t="s">
        <v>61</v>
      </c>
      <c r="C129" s="75">
        <v>93</v>
      </c>
      <c r="D129" s="75">
        <v>67</v>
      </c>
      <c r="E129" s="59">
        <f t="shared" si="3"/>
        <v>160</v>
      </c>
      <c r="F129" s="99">
        <f t="shared" si="4"/>
        <v>7</v>
      </c>
      <c r="G129" s="96">
        <f t="shared" si="5"/>
        <v>1</v>
      </c>
      <c r="J129" s="91" t="s">
        <v>61</v>
      </c>
      <c r="K129" s="75">
        <v>93</v>
      </c>
      <c r="L129" s="75">
        <v>67</v>
      </c>
      <c r="M129" s="59"/>
      <c r="N129" s="99"/>
      <c r="O129" s="96"/>
    </row>
    <row r="130" spans="2:15" ht="12.75" customHeight="1">
      <c r="B130" s="92" t="s">
        <v>62</v>
      </c>
      <c r="C130" s="76">
        <v>66</v>
      </c>
      <c r="D130" s="76">
        <v>55</v>
      </c>
      <c r="E130" s="82">
        <f t="shared" si="3"/>
        <v>121</v>
      </c>
      <c r="F130" s="100">
        <f t="shared" si="4"/>
        <v>8</v>
      </c>
      <c r="G130" s="97">
        <f t="shared" si="5"/>
        <v>8</v>
      </c>
      <c r="J130" s="92" t="s">
        <v>62</v>
      </c>
      <c r="K130" s="76">
        <v>66</v>
      </c>
      <c r="L130" s="76">
        <v>55</v>
      </c>
      <c r="M130" s="82"/>
      <c r="N130" s="100"/>
      <c r="O130" s="97"/>
    </row>
    <row r="131" spans="2:15" ht="12.75" customHeight="1" thickBot="1">
      <c r="B131" s="93" t="s">
        <v>35</v>
      </c>
      <c r="C131" s="87">
        <f>AVERAGE(C123:C130)</f>
        <v>76.375</v>
      </c>
      <c r="D131" s="87">
        <f>AVERAGE(D123:D130)</f>
        <v>76</v>
      </c>
      <c r="E131" s="88">
        <f>AVERAGE(E123:E130)</f>
        <v>152.375</v>
      </c>
      <c r="F131" s="85"/>
      <c r="G131" s="86"/>
      <c r="J131" s="93" t="s">
        <v>35</v>
      </c>
      <c r="K131" s="84"/>
      <c r="L131" s="84"/>
      <c r="M131" s="83"/>
      <c r="N131" s="85"/>
      <c r="O131" s="86"/>
    </row>
    <row r="132" spans="2:15" ht="12.75" customHeight="1" thickTop="1"/>
    <row r="135" spans="2:15" ht="12.75" customHeight="1">
      <c r="B135" s="32" t="s">
        <v>67</v>
      </c>
      <c r="C135" t="s">
        <v>77</v>
      </c>
      <c r="J135" s="32" t="s">
        <v>67</v>
      </c>
      <c r="K135" t="s">
        <v>77</v>
      </c>
    </row>
    <row r="136" spans="2:15" ht="12.75" customHeight="1">
      <c r="B136" s="32" t="s">
        <v>68</v>
      </c>
      <c r="C136" t="s">
        <v>73</v>
      </c>
      <c r="J136" s="32" t="s">
        <v>68</v>
      </c>
      <c r="K136" t="s">
        <v>73</v>
      </c>
    </row>
    <row r="139" spans="2:15" ht="12.75" customHeight="1">
      <c r="B139" s="32" t="s">
        <v>69</v>
      </c>
      <c r="C139" t="s">
        <v>70</v>
      </c>
      <c r="G139" s="89">
        <f>COUNTIF(C123:D130,"&gt;=80")</f>
        <v>7</v>
      </c>
      <c r="J139" s="32" t="s">
        <v>69</v>
      </c>
      <c r="K139" t="s">
        <v>70</v>
      </c>
      <c r="O139" s="89"/>
    </row>
    <row r="142" spans="2:15" ht="12.75" customHeight="1">
      <c r="B142" s="32" t="s">
        <v>71</v>
      </c>
      <c r="C142" t="s">
        <v>72</v>
      </c>
      <c r="G142" s="89">
        <f>SUMIF(C123:D130,"&gt;=90",C123:D130)</f>
        <v>183</v>
      </c>
      <c r="J142" s="32" t="s">
        <v>71</v>
      </c>
      <c r="K142" t="s">
        <v>72</v>
      </c>
      <c r="O142" s="89"/>
    </row>
  </sheetData>
  <mergeCells count="12">
    <mergeCell ref="A1:G1"/>
    <mergeCell ref="E78:K82"/>
    <mergeCell ref="K119:N119"/>
    <mergeCell ref="C9:N9"/>
    <mergeCell ref="K51:N51"/>
    <mergeCell ref="D14:D18"/>
    <mergeCell ref="B21:D21"/>
    <mergeCell ref="C36:G37"/>
    <mergeCell ref="K86:N86"/>
    <mergeCell ref="C78:D82"/>
    <mergeCell ref="C40:F44"/>
    <mergeCell ref="G40:S44"/>
  </mergeCells>
  <phoneticPr fontId="2"/>
  <conditionalFormatting sqref="C123:C130">
    <cfRule type="cellIs" dxfId="1" priority="1" stopIfTrue="1" operator="lessThan">
      <formula>70</formula>
    </cfRule>
  </conditionalFormatting>
  <conditionalFormatting sqref="D123:D130">
    <cfRule type="cellIs" dxfId="0" priority="2" stopIfTrue="1" operator="greaterThanOrEqual">
      <formula>80</formula>
    </cfRule>
  </conditionalFormatting>
  <pageMargins left="0.78700000000000003" right="0.78700000000000003" top="0.98399999999999999" bottom="0.98399999999999999" header="0.51200000000000001" footer="0.51200000000000001"/>
  <pageSetup paperSize="9" scale="32" orientation="landscape" verticalDpi="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/>
  <sheetData/>
  <phoneticPr fontId="2"/>
  <pageMargins left="0.78700000000000003" right="0.78700000000000003" top="0.98399999999999999" bottom="0.98399999999999999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/>
  <sheetData/>
  <phoneticPr fontId="2"/>
  <pageMargins left="0.78700000000000003" right="0.78700000000000003" top="0.98399999999999999" bottom="0.98399999999999999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根津良彦</dc:creator>
  <cp:lastModifiedBy>ディーピーティー株式会社</cp:lastModifiedBy>
  <dcterms:created xsi:type="dcterms:W3CDTF">2004-02-19T05:37:16Z</dcterms:created>
  <dcterms:modified xsi:type="dcterms:W3CDTF">2020-03-09T03:10:52Z</dcterms:modified>
</cp:coreProperties>
</file>