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192.168.1.216\エンジニアリング\05教育\2025年度新卒\2504_新入社員研修\3_カリキュラム\0414_技術研修\03_情報システム\0423_1_Excel、Excelマクロ\新卒展開用資料\練習問題\Excel活用編_問題集\Excel関数編\IF関数\"/>
    </mc:Choice>
  </mc:AlternateContent>
  <bookViews>
    <workbookView xWindow="120" yWindow="36" windowWidth="11712" windowHeight="6528"/>
  </bookViews>
  <sheets>
    <sheet name="序章" sheetId="15" r:id="rId1"/>
    <sheet name="問1" sheetId="14" r:id="rId2"/>
    <sheet name="問2" sheetId="17" r:id="rId3"/>
    <sheet name="問3" sheetId="11" r:id="rId4"/>
    <sheet name="問4" sheetId="12" r:id="rId5"/>
    <sheet name="問5" sheetId="16" r:id="rId6"/>
    <sheet name="問6" sheetId="19" r:id="rId7"/>
    <sheet name="Sheet2" sheetId="20" state="hidden" r:id="rId8"/>
  </sheets>
  <definedNames>
    <definedName name="xlfctif" localSheetId="0">序章!$B$2</definedName>
  </definedNames>
  <calcPr calcId="162913"/>
</workbook>
</file>

<file path=xl/calcChain.xml><?xml version="1.0" encoding="utf-8"?>
<calcChain xmlns="http://schemas.openxmlformats.org/spreadsheetml/2006/main">
  <c r="E48" i="19" l="1"/>
  <c r="E49" i="19" s="1"/>
  <c r="E50" i="19" s="1"/>
  <c r="E51" i="19" s="1"/>
  <c r="E52" i="19" s="1"/>
  <c r="E53" i="19" s="1"/>
  <c r="E54" i="19" s="1"/>
  <c r="E55" i="19" s="1"/>
  <c r="E56" i="19" s="1"/>
  <c r="E57" i="19" s="1"/>
  <c r="E58" i="19" s="1"/>
  <c r="E59" i="19" s="1"/>
  <c r="E60" i="19" s="1"/>
  <c r="E61" i="19" s="1"/>
  <c r="G43" i="12"/>
  <c r="H52" i="11"/>
  <c r="G52" i="11"/>
  <c r="E42" i="17"/>
  <c r="E52" i="14"/>
  <c r="B73" i="16"/>
  <c r="B74" i="16"/>
  <c r="B75" i="16"/>
  <c r="B76" i="16"/>
  <c r="B77" i="16"/>
  <c r="B43" i="16"/>
  <c r="B44" i="16"/>
  <c r="B45" i="16"/>
  <c r="B46" i="16"/>
  <c r="B47" i="16"/>
  <c r="C70" i="16"/>
  <c r="C75" i="16" s="1"/>
  <c r="C40" i="16"/>
  <c r="E13" i="14"/>
  <c r="C10" i="14" s="1"/>
  <c r="C9" i="14"/>
  <c r="C43" i="14"/>
  <c r="E43" i="14"/>
  <c r="C44" i="14"/>
  <c r="E44" i="14"/>
  <c r="C45" i="14"/>
  <c r="C46" i="14"/>
  <c r="C47" i="14"/>
  <c r="C48" i="14"/>
  <c r="E53" i="14"/>
  <c r="E54" i="14"/>
  <c r="E55" i="14"/>
  <c r="E56" i="14"/>
  <c r="E57" i="14"/>
  <c r="E58" i="14"/>
  <c r="E59" i="14"/>
  <c r="E60" i="14"/>
  <c r="E61" i="14"/>
  <c r="E62" i="14"/>
  <c r="E63" i="14"/>
  <c r="E43" i="17"/>
  <c r="E44" i="17"/>
  <c r="E45" i="17"/>
  <c r="E46" i="17"/>
  <c r="E47" i="17"/>
  <c r="E48" i="17"/>
  <c r="E49" i="17"/>
  <c r="E50" i="17"/>
  <c r="E51" i="17"/>
  <c r="E52" i="17"/>
  <c r="E53" i="17"/>
  <c r="E54" i="17"/>
  <c r="E55" i="17"/>
  <c r="E56" i="17"/>
  <c r="E57" i="17"/>
  <c r="E6" i="11"/>
  <c r="E7" i="11"/>
  <c r="E8" i="11"/>
  <c r="E9" i="11"/>
  <c r="E10" i="11"/>
  <c r="E11" i="11"/>
  <c r="E12" i="11"/>
  <c r="E13" i="11"/>
  <c r="E14" i="11"/>
  <c r="E15" i="11"/>
  <c r="E16" i="11"/>
  <c r="E17" i="11"/>
  <c r="E18" i="11"/>
  <c r="E19" i="11"/>
  <c r="E52" i="11"/>
  <c r="E53" i="11"/>
  <c r="F53" i="11" s="1"/>
  <c r="E54" i="11"/>
  <c r="E55" i="11"/>
  <c r="E56" i="11"/>
  <c r="E57" i="11"/>
  <c r="E58" i="11"/>
  <c r="E59" i="11"/>
  <c r="E60" i="11"/>
  <c r="E61" i="11"/>
  <c r="E62" i="11"/>
  <c r="E63" i="11"/>
  <c r="E64" i="11"/>
  <c r="E65" i="11"/>
  <c r="G53" i="11"/>
  <c r="H53" i="11"/>
  <c r="G54" i="11"/>
  <c r="H54" i="11"/>
  <c r="G55" i="11"/>
  <c r="H55" i="11"/>
  <c r="G56" i="11"/>
  <c r="H56" i="11"/>
  <c r="G57" i="11"/>
  <c r="H57" i="11"/>
  <c r="G58" i="11"/>
  <c r="H58" i="11"/>
  <c r="G59" i="11"/>
  <c r="H59" i="11"/>
  <c r="G60" i="11"/>
  <c r="H60" i="11"/>
  <c r="G61" i="11"/>
  <c r="H61" i="11"/>
  <c r="G62" i="11"/>
  <c r="H62" i="11"/>
  <c r="G63" i="11"/>
  <c r="H63" i="11"/>
  <c r="G64" i="11"/>
  <c r="H64" i="11"/>
  <c r="G65" i="11"/>
  <c r="H65" i="11"/>
  <c r="G96" i="12"/>
  <c r="G102" i="12"/>
  <c r="G97" i="12"/>
  <c r="G98" i="12"/>
  <c r="G99" i="12"/>
  <c r="G100" i="12"/>
  <c r="G101" i="12"/>
  <c r="H101" i="12" s="1"/>
  <c r="I101" i="12" s="1"/>
  <c r="G103" i="12"/>
  <c r="G104" i="12"/>
  <c r="G105" i="12"/>
  <c r="G106" i="12"/>
  <c r="G107" i="12"/>
  <c r="G108" i="12"/>
  <c r="G109" i="12"/>
  <c r="G110" i="12"/>
  <c r="H110" i="12" s="1"/>
  <c r="I110" i="12" s="1"/>
  <c r="G81" i="12"/>
  <c r="G82" i="12"/>
  <c r="J81" i="12" s="1"/>
  <c r="G76" i="12"/>
  <c r="G75" i="12"/>
  <c r="H80" i="12" s="1"/>
  <c r="I80" i="12" s="1"/>
  <c r="G77" i="12"/>
  <c r="G78" i="12"/>
  <c r="G79" i="12"/>
  <c r="G80" i="12"/>
  <c r="G83" i="12"/>
  <c r="G84" i="12"/>
  <c r="G85" i="12"/>
  <c r="G86" i="12"/>
  <c r="G87" i="12"/>
  <c r="G88" i="12"/>
  <c r="G89" i="12"/>
  <c r="G44" i="12"/>
  <c r="G45" i="12"/>
  <c r="G46" i="12"/>
  <c r="G47" i="12"/>
  <c r="G48" i="12"/>
  <c r="G49" i="12"/>
  <c r="G50" i="12"/>
  <c r="G51" i="12"/>
  <c r="G52" i="12"/>
  <c r="G53" i="12"/>
  <c r="G54" i="12"/>
  <c r="G55" i="12"/>
  <c r="G56" i="12"/>
  <c r="G57" i="12"/>
  <c r="C74" i="16" l="1"/>
  <c r="H89" i="12"/>
  <c r="I89" i="12" s="1"/>
  <c r="C76" i="16"/>
  <c r="H57" i="12"/>
  <c r="I57" i="12" s="1"/>
  <c r="H49" i="12"/>
  <c r="I49" i="12" s="1"/>
  <c r="H76" i="12"/>
  <c r="I76" i="12" s="1"/>
  <c r="F52" i="11"/>
  <c r="C49" i="14"/>
  <c r="H85" i="12"/>
  <c r="I85" i="12" s="1"/>
  <c r="H108" i="12"/>
  <c r="I108" i="12" s="1"/>
  <c r="H99" i="12"/>
  <c r="I99" i="12" s="1"/>
  <c r="F59" i="11"/>
  <c r="H55" i="12"/>
  <c r="I55" i="12" s="1"/>
  <c r="H44" i="12"/>
  <c r="I44" i="12" s="1"/>
  <c r="H81" i="12"/>
  <c r="I81" i="12" s="1"/>
  <c r="H83" i="12"/>
  <c r="I83" i="12" s="1"/>
  <c r="F64" i="11"/>
  <c r="F61" i="11"/>
  <c r="H106" i="12"/>
  <c r="I106" i="12" s="1"/>
  <c r="H97" i="12"/>
  <c r="I97" i="12" s="1"/>
  <c r="F60" i="11"/>
  <c r="F65" i="11"/>
  <c r="F57" i="11"/>
  <c r="H53" i="12"/>
  <c r="I53" i="12" s="1"/>
  <c r="H45" i="12"/>
  <c r="I45" i="12" s="1"/>
  <c r="H96" i="12"/>
  <c r="I96" i="12" s="1"/>
  <c r="F56" i="11"/>
  <c r="H107" i="12"/>
  <c r="I107" i="12" s="1"/>
  <c r="H104" i="12"/>
  <c r="I104" i="12" s="1"/>
  <c r="H102" i="12"/>
  <c r="I102" i="12" s="1"/>
  <c r="F63" i="11"/>
  <c r="F54" i="11"/>
  <c r="H43" i="12"/>
  <c r="I43" i="12" s="1"/>
  <c r="H51" i="12"/>
  <c r="I51" i="12" s="1"/>
  <c r="H87" i="12"/>
  <c r="I87" i="12" s="1"/>
  <c r="H88" i="12"/>
  <c r="I88" i="12" s="1"/>
  <c r="H103" i="12"/>
  <c r="I103" i="12" s="1"/>
  <c r="H98" i="12"/>
  <c r="I98" i="12" s="1"/>
  <c r="H54" i="12"/>
  <c r="I54" i="12" s="1"/>
  <c r="H52" i="12"/>
  <c r="I52" i="12" s="1"/>
  <c r="H48" i="12"/>
  <c r="I48" i="12" s="1"/>
  <c r="H46" i="12"/>
  <c r="I46" i="12" s="1"/>
  <c r="H84" i="12"/>
  <c r="I84" i="12" s="1"/>
  <c r="H79" i="12"/>
  <c r="I79" i="12" s="1"/>
  <c r="H109" i="12"/>
  <c r="I109" i="12" s="1"/>
  <c r="H105" i="12"/>
  <c r="I105" i="12" s="1"/>
  <c r="H100" i="12"/>
  <c r="I100" i="12" s="1"/>
  <c r="H47" i="12"/>
  <c r="I47" i="12" s="1"/>
  <c r="H75" i="12"/>
  <c r="I75" i="12" s="1"/>
  <c r="H86" i="12"/>
  <c r="I86" i="12" s="1"/>
  <c r="H82" i="12"/>
  <c r="I82" i="12" s="1"/>
  <c r="H78" i="12"/>
  <c r="I78" i="12" s="1"/>
  <c r="F55" i="11"/>
  <c r="C77" i="16"/>
  <c r="C73" i="16"/>
  <c r="H77" i="12"/>
  <c r="I77" i="12" s="1"/>
  <c r="H56" i="12"/>
  <c r="I56" i="12" s="1"/>
  <c r="H50" i="12"/>
  <c r="I50" i="12" s="1"/>
  <c r="F62" i="11"/>
  <c r="F58" i="11"/>
</calcChain>
</file>

<file path=xl/sharedStrings.xml><?xml version="1.0" encoding="utf-8"?>
<sst xmlns="http://schemas.openxmlformats.org/spreadsheetml/2006/main" count="429" uniqueCount="155">
  <si>
    <t>合計</t>
    <rPh sb="0" eb="2">
      <t>ゴウケイ</t>
    </rPh>
    <phoneticPr fontId="2"/>
  </si>
  <si>
    <t>氏名</t>
    <rPh sb="0" eb="2">
      <t>シメイ</t>
    </rPh>
    <phoneticPr fontId="2"/>
  </si>
  <si>
    <t>試験結果</t>
    <rPh sb="0" eb="2">
      <t>シケン</t>
    </rPh>
    <rPh sb="2" eb="4">
      <t>ケッカ</t>
    </rPh>
    <phoneticPr fontId="2"/>
  </si>
  <si>
    <t>筆記</t>
    <rPh sb="0" eb="2">
      <t>ヒッキ</t>
    </rPh>
    <phoneticPr fontId="2"/>
  </si>
  <si>
    <t>実技</t>
    <rPh sb="0" eb="2">
      <t>ジツギ</t>
    </rPh>
    <phoneticPr fontId="2"/>
  </si>
  <si>
    <t>順位</t>
    <rPh sb="0" eb="2">
      <t>ジュンイ</t>
    </rPh>
    <phoneticPr fontId="2"/>
  </si>
  <si>
    <t>田中　啓介</t>
    <rPh sb="0" eb="2">
      <t>タナカ</t>
    </rPh>
    <rPh sb="3" eb="5">
      <t>ケイスケ</t>
    </rPh>
    <phoneticPr fontId="2"/>
  </si>
  <si>
    <t>木下　良雄</t>
    <rPh sb="0" eb="2">
      <t>キノシタ</t>
    </rPh>
    <rPh sb="3" eb="5">
      <t>ヨシオ</t>
    </rPh>
    <phoneticPr fontId="2"/>
  </si>
  <si>
    <t>橋本　正雄</t>
    <rPh sb="0" eb="2">
      <t>ハシモト</t>
    </rPh>
    <rPh sb="3" eb="5">
      <t>マサオ</t>
    </rPh>
    <phoneticPr fontId="2"/>
  </si>
  <si>
    <t>江田　京子</t>
    <rPh sb="0" eb="2">
      <t>エダ</t>
    </rPh>
    <rPh sb="3" eb="5">
      <t>キョウコ</t>
    </rPh>
    <phoneticPr fontId="2"/>
  </si>
  <si>
    <t>鈴木　陽子</t>
    <rPh sb="0" eb="2">
      <t>スズキ</t>
    </rPh>
    <rPh sb="3" eb="5">
      <t>ヨウコ</t>
    </rPh>
    <phoneticPr fontId="2"/>
  </si>
  <si>
    <t>久保　正</t>
    <rPh sb="0" eb="2">
      <t>クボ</t>
    </rPh>
    <rPh sb="3" eb="4">
      <t>タダシ</t>
    </rPh>
    <phoneticPr fontId="2"/>
  </si>
  <si>
    <t>佐伯　三郎</t>
    <rPh sb="0" eb="2">
      <t>サエキ</t>
    </rPh>
    <rPh sb="3" eb="5">
      <t>サブロウ</t>
    </rPh>
    <phoneticPr fontId="2"/>
  </si>
  <si>
    <t>竹田　誠治</t>
    <rPh sb="0" eb="2">
      <t>タケダ</t>
    </rPh>
    <rPh sb="3" eb="5">
      <t>セイジ</t>
    </rPh>
    <phoneticPr fontId="2"/>
  </si>
  <si>
    <t>小池　公彦</t>
    <rPh sb="0" eb="2">
      <t>コイケ</t>
    </rPh>
    <rPh sb="3" eb="5">
      <t>キミヒコ</t>
    </rPh>
    <phoneticPr fontId="2"/>
  </si>
  <si>
    <t>中村　仁</t>
    <rPh sb="0" eb="2">
      <t>ナカムラ</t>
    </rPh>
    <rPh sb="3" eb="4">
      <t>ジン</t>
    </rPh>
    <phoneticPr fontId="2"/>
  </si>
  <si>
    <t>斎藤　恵子</t>
    <rPh sb="0" eb="2">
      <t>サイトウ</t>
    </rPh>
    <rPh sb="3" eb="5">
      <t>ケイコ</t>
    </rPh>
    <phoneticPr fontId="2"/>
  </si>
  <si>
    <t>栗林　聡子</t>
    <rPh sb="0" eb="2">
      <t>クリバヤシ</t>
    </rPh>
    <rPh sb="3" eb="5">
      <t>サトコ</t>
    </rPh>
    <phoneticPr fontId="2"/>
  </si>
  <si>
    <t>渡部　秀美</t>
    <rPh sb="0" eb="2">
      <t>ワタベ</t>
    </rPh>
    <rPh sb="3" eb="5">
      <t>ヒデミ</t>
    </rPh>
    <phoneticPr fontId="2"/>
  </si>
  <si>
    <t>松村　智</t>
    <rPh sb="0" eb="2">
      <t>マツムラ</t>
    </rPh>
    <rPh sb="3" eb="4">
      <t>トモ</t>
    </rPh>
    <phoneticPr fontId="2"/>
  </si>
  <si>
    <t xml:space="preserve">
</t>
    <phoneticPr fontId="2"/>
  </si>
  <si>
    <t>合否（筆記）</t>
    <rPh sb="0" eb="2">
      <t>ゴウヒ</t>
    </rPh>
    <rPh sb="3" eb="5">
      <t>ヒッキ</t>
    </rPh>
    <phoneticPr fontId="2"/>
  </si>
  <si>
    <t>合否（実技）</t>
    <rPh sb="0" eb="2">
      <t>ゴウヒ</t>
    </rPh>
    <rPh sb="3" eb="5">
      <t>ジツギ</t>
    </rPh>
    <phoneticPr fontId="2"/>
  </si>
  <si>
    <t>マスターズ世界体操予選会</t>
    <rPh sb="5" eb="7">
      <t>セカイ</t>
    </rPh>
    <rPh sb="7" eb="9">
      <t>タイソウ</t>
    </rPh>
    <rPh sb="9" eb="12">
      <t>ヨセンカイ</t>
    </rPh>
    <phoneticPr fontId="2"/>
  </si>
  <si>
    <t>選手名</t>
    <rPh sb="0" eb="3">
      <t>センシュメイ</t>
    </rPh>
    <phoneticPr fontId="2"/>
  </si>
  <si>
    <t>審査員A</t>
    <rPh sb="0" eb="3">
      <t>シンサイン</t>
    </rPh>
    <phoneticPr fontId="2"/>
  </si>
  <si>
    <t>審査員B</t>
    <rPh sb="0" eb="3">
      <t>シンサイン</t>
    </rPh>
    <phoneticPr fontId="2"/>
  </si>
  <si>
    <t>審査員C</t>
    <rPh sb="0" eb="3">
      <t>シンサイン</t>
    </rPh>
    <phoneticPr fontId="2"/>
  </si>
  <si>
    <t>審査員D</t>
    <rPh sb="0" eb="3">
      <t>シンサイン</t>
    </rPh>
    <phoneticPr fontId="2"/>
  </si>
  <si>
    <t>審査員E</t>
    <rPh sb="0" eb="3">
      <t>シンサイン</t>
    </rPh>
    <phoneticPr fontId="2"/>
  </si>
  <si>
    <t>得点</t>
    <rPh sb="0" eb="2">
      <t>トクテン</t>
    </rPh>
    <phoneticPr fontId="2"/>
  </si>
  <si>
    <t>結果</t>
    <rPh sb="0" eb="2">
      <t>ケッカ</t>
    </rPh>
    <phoneticPr fontId="2"/>
  </si>
  <si>
    <t>藤崎　京子</t>
  </si>
  <si>
    <t>大橋　智香子</t>
  </si>
  <si>
    <t>大渡　牧子</t>
  </si>
  <si>
    <t>佐々木　容子</t>
  </si>
  <si>
    <t>荒木　あかね</t>
  </si>
  <si>
    <t>佐々木　美里</t>
  </si>
  <si>
    <t>高木　朋美</t>
  </si>
  <si>
    <t>小池　いずみ</t>
  </si>
  <si>
    <t>吉井　佳奈</t>
  </si>
  <si>
    <t>大橋　亜矢</t>
  </si>
  <si>
    <t>竹内　由美子</t>
  </si>
  <si>
    <t>遠藤　好江</t>
  </si>
  <si>
    <t>笹平　友香</t>
  </si>
  <si>
    <t>山中　真菜</t>
  </si>
  <si>
    <t>渡辺　るみ子</t>
  </si>
  <si>
    <t>オリジナルツアー催行状況表</t>
    <rPh sb="8" eb="10">
      <t>サイコウ</t>
    </rPh>
    <rPh sb="10" eb="12">
      <t>ジョウキョウ</t>
    </rPh>
    <rPh sb="12" eb="13">
      <t>ヒョウ</t>
    </rPh>
    <phoneticPr fontId="2"/>
  </si>
  <si>
    <t>ツアー名</t>
    <rPh sb="3" eb="4">
      <t>メイ</t>
    </rPh>
    <phoneticPr fontId="2"/>
  </si>
  <si>
    <t>自由に選べるローマの休日８日間</t>
    <rPh sb="0" eb="2">
      <t>ジユウ</t>
    </rPh>
    <rPh sb="3" eb="4">
      <t>エラ</t>
    </rPh>
    <rPh sb="10" eb="12">
      <t>キュウジツ</t>
    </rPh>
    <rPh sb="13" eb="14">
      <t>ヒ</t>
    </rPh>
    <rPh sb="14" eb="15">
      <t>アイダ</t>
    </rPh>
    <phoneticPr fontId="2"/>
  </si>
  <si>
    <t>ツアー代金</t>
    <rPh sb="3" eb="5">
      <t>ダイキン</t>
    </rPh>
    <phoneticPr fontId="2"/>
  </si>
  <si>
    <t>～</t>
    <phoneticPr fontId="2"/>
  </si>
  <si>
    <t>出発日</t>
    <rPh sb="0" eb="2">
      <t>シュッパツ</t>
    </rPh>
    <rPh sb="2" eb="3">
      <t>ビ</t>
    </rPh>
    <phoneticPr fontId="2"/>
  </si>
  <si>
    <t>～</t>
    <phoneticPr fontId="2"/>
  </si>
  <si>
    <t>ツアー参加者数合計</t>
    <rPh sb="3" eb="6">
      <t>サンカシャ</t>
    </rPh>
    <rPh sb="6" eb="7">
      <t>スウ</t>
    </rPh>
    <rPh sb="7" eb="9">
      <t>ゴウケイ</t>
    </rPh>
    <phoneticPr fontId="2"/>
  </si>
  <si>
    <t>ツアー平均参加者数</t>
    <rPh sb="3" eb="5">
      <t>ヘイキン</t>
    </rPh>
    <rPh sb="5" eb="7">
      <t>サンカ</t>
    </rPh>
    <rPh sb="7" eb="8">
      <t>シャ</t>
    </rPh>
    <rPh sb="8" eb="9">
      <t>スウ</t>
    </rPh>
    <phoneticPr fontId="2"/>
  </si>
  <si>
    <t>ツアー催行数</t>
    <rPh sb="3" eb="5">
      <t>サイコウ</t>
    </rPh>
    <rPh sb="5" eb="6">
      <t>カズ</t>
    </rPh>
    <phoneticPr fontId="2"/>
  </si>
  <si>
    <t>ツアー企画数</t>
    <rPh sb="3" eb="5">
      <t>キカク</t>
    </rPh>
    <rPh sb="5" eb="6">
      <t>カズ</t>
    </rPh>
    <phoneticPr fontId="2"/>
  </si>
  <si>
    <t>売上金額合計</t>
    <rPh sb="0" eb="2">
      <t>ウリアゲ</t>
    </rPh>
    <rPh sb="2" eb="3">
      <t>キン</t>
    </rPh>
    <rPh sb="3" eb="4">
      <t>ガク</t>
    </rPh>
    <rPh sb="4" eb="6">
      <t>ゴウケイ</t>
    </rPh>
    <phoneticPr fontId="2"/>
  </si>
  <si>
    <t>参加者数</t>
    <rPh sb="0" eb="3">
      <t>サンカシャ</t>
    </rPh>
    <rPh sb="3" eb="4">
      <t>スウ</t>
    </rPh>
    <phoneticPr fontId="2"/>
  </si>
  <si>
    <t>売上金額</t>
    <rPh sb="0" eb="2">
      <t>ウリアゲ</t>
    </rPh>
    <rPh sb="2" eb="4">
      <t>キンガク</t>
    </rPh>
    <phoneticPr fontId="2"/>
  </si>
  <si>
    <t>中止</t>
    <rPh sb="0" eb="2">
      <t>チュウシ</t>
    </rPh>
    <phoneticPr fontId="2"/>
  </si>
  <si>
    <t>IF</t>
  </si>
  <si>
    <t>IF 関数を使用して値または数式が条件を満たしているかどうかをテストできます。</t>
  </si>
  <si>
    <t>書式</t>
  </si>
  <si>
    <r>
      <t>指定された条件が</t>
    </r>
    <r>
      <rPr>
        <sz val="11"/>
        <color indexed="10"/>
        <rFont val="ＭＳ Ｐゴシック"/>
        <family val="3"/>
        <charset val="128"/>
      </rPr>
      <t xml:space="preserve"> TRUE (真)</t>
    </r>
    <r>
      <rPr>
        <sz val="11"/>
        <color indexed="12"/>
        <rFont val="ＭＳ Ｐゴシック"/>
        <family val="3"/>
        <charset val="128"/>
      </rPr>
      <t xml:space="preserve"> のとき </t>
    </r>
    <r>
      <rPr>
        <b/>
        <i/>
        <sz val="11"/>
        <color indexed="12"/>
        <rFont val="ＭＳ Ｐゴシック"/>
        <family val="3"/>
        <charset val="128"/>
      </rPr>
      <t>真の場合</t>
    </r>
    <r>
      <rPr>
        <sz val="11"/>
        <color indexed="12"/>
        <rFont val="ＭＳ Ｐゴシック"/>
        <family val="3"/>
        <charset val="128"/>
      </rPr>
      <t xml:space="preserve"> を返し、</t>
    </r>
    <r>
      <rPr>
        <sz val="11"/>
        <color indexed="10"/>
        <rFont val="ＭＳ Ｐゴシック"/>
        <family val="3"/>
        <charset val="128"/>
      </rPr>
      <t>FALSE (偽)</t>
    </r>
    <r>
      <rPr>
        <sz val="11"/>
        <color indexed="12"/>
        <rFont val="ＭＳ Ｐゴシック"/>
        <family val="3"/>
        <charset val="128"/>
      </rPr>
      <t xml:space="preserve"> のとき </t>
    </r>
    <r>
      <rPr>
        <b/>
        <i/>
        <sz val="11"/>
        <color indexed="12"/>
        <rFont val="ＭＳ Ｐゴシック"/>
        <family val="3"/>
        <charset val="128"/>
      </rPr>
      <t>偽の場合</t>
    </r>
    <r>
      <rPr>
        <sz val="11"/>
        <color indexed="12"/>
        <rFont val="ＭＳ Ｐゴシック"/>
        <family val="3"/>
        <charset val="128"/>
      </rPr>
      <t xml:space="preserve"> を返します。</t>
    </r>
    <phoneticPr fontId="2"/>
  </si>
  <si>
    <r>
      <t xml:space="preserve">論理式   真または偽のどちらかに評価できる値または式を指定します。たとえば、A10=100 は論理式です。この論理式は、セル A10 の値が 100 の場合に TRUE となり、それ以外の場合に FALSE となります。引数には、どの比較演算子でも使用できます。
</t>
    </r>
    <r>
      <rPr>
        <u/>
        <sz val="11"/>
        <color indexed="10"/>
        <rFont val="ＭＳ Ｐゴシック"/>
        <family val="3"/>
        <charset val="128"/>
      </rPr>
      <t>最大 7 つまで</t>
    </r>
    <r>
      <rPr>
        <u/>
        <sz val="11"/>
        <color indexed="12"/>
        <rFont val="ＭＳ Ｐゴシック"/>
        <family val="3"/>
        <charset val="128"/>
      </rPr>
      <t>の IF 関数を 真の場合、偽の場合 としてネストすることにより、より複雑なテストを行うことができます。詳細は、最後の使用例を参照してください。</t>
    </r>
    <phoneticPr fontId="2"/>
  </si>
  <si>
    <r>
      <t>真の場合</t>
    </r>
    <r>
      <rPr>
        <sz val="11"/>
        <rFont val="ＭＳ Ｐゴシック"/>
        <family val="3"/>
        <charset val="128"/>
      </rPr>
      <t>   論理式が TRUE の場合に返す</t>
    </r>
    <r>
      <rPr>
        <sz val="11"/>
        <color indexed="10"/>
        <rFont val="ＭＳ Ｐゴシック"/>
        <family val="3"/>
        <charset val="128"/>
      </rPr>
      <t>値、文字列、</t>
    </r>
    <r>
      <rPr>
        <sz val="11"/>
        <rFont val="ＭＳ Ｐゴシック"/>
        <family val="3"/>
        <charset val="128"/>
      </rPr>
      <t>または</t>
    </r>
    <r>
      <rPr>
        <sz val="11"/>
        <color indexed="10"/>
        <rFont val="ＭＳ Ｐゴシック"/>
        <family val="3"/>
        <charset val="128"/>
      </rPr>
      <t>数式</t>
    </r>
    <r>
      <rPr>
        <sz val="11"/>
        <rFont val="ＭＳ Ｐゴシック"/>
        <family val="3"/>
        <charset val="128"/>
      </rPr>
      <t>を指定します。</t>
    </r>
    <rPh sb="25" eb="28">
      <t>モジレツ</t>
    </rPh>
    <rPh sb="32" eb="34">
      <t>スウシキ</t>
    </rPh>
    <phoneticPr fontId="2"/>
  </si>
  <si>
    <r>
      <t>偽の場合</t>
    </r>
    <r>
      <rPr>
        <sz val="11"/>
        <rFont val="ＭＳ Ｐゴシック"/>
        <family val="3"/>
        <charset val="128"/>
      </rPr>
      <t>   論理式が FALSE の場合に返す</t>
    </r>
    <r>
      <rPr>
        <sz val="11"/>
        <color indexed="10"/>
        <rFont val="ＭＳ Ｐゴシック"/>
        <family val="3"/>
        <charset val="128"/>
      </rPr>
      <t>値、文字列</t>
    </r>
    <r>
      <rPr>
        <sz val="11"/>
        <rFont val="ＭＳ Ｐゴシック"/>
        <family val="3"/>
        <charset val="128"/>
      </rPr>
      <t>、または</t>
    </r>
    <r>
      <rPr>
        <sz val="11"/>
        <color indexed="10"/>
        <rFont val="ＭＳ Ｐゴシック"/>
        <family val="3"/>
        <charset val="128"/>
      </rPr>
      <t>数式</t>
    </r>
    <r>
      <rPr>
        <sz val="11"/>
        <rFont val="ＭＳ Ｐゴシック"/>
        <family val="3"/>
        <charset val="128"/>
      </rPr>
      <t>を指定します。</t>
    </r>
    <rPh sb="26" eb="29">
      <t>モジレツ</t>
    </rPh>
    <rPh sb="33" eb="35">
      <t>スウシキ</t>
    </rPh>
    <phoneticPr fontId="2"/>
  </si>
  <si>
    <r>
      <t>IF</t>
    </r>
    <r>
      <rPr>
        <sz val="16"/>
        <color indexed="10"/>
        <rFont val="ＭＳ Ｐゴシック"/>
        <family val="3"/>
        <charset val="128"/>
      </rPr>
      <t>(</t>
    </r>
    <r>
      <rPr>
        <b/>
        <i/>
        <sz val="16"/>
        <color indexed="10"/>
        <rFont val="ＭＳ Ｐゴシック"/>
        <family val="3"/>
        <charset val="128"/>
      </rPr>
      <t>論理式</t>
    </r>
    <r>
      <rPr>
        <sz val="16"/>
        <color indexed="10"/>
        <rFont val="ＭＳ Ｐゴシック"/>
        <family val="3"/>
        <charset val="128"/>
      </rPr>
      <t xml:space="preserve">, </t>
    </r>
    <r>
      <rPr>
        <b/>
        <i/>
        <sz val="16"/>
        <color indexed="10"/>
        <rFont val="ＭＳ Ｐゴシック"/>
        <family val="3"/>
        <charset val="128"/>
      </rPr>
      <t>真の場合</t>
    </r>
    <r>
      <rPr>
        <sz val="16"/>
        <color indexed="10"/>
        <rFont val="ＭＳ Ｐゴシック"/>
        <family val="3"/>
        <charset val="128"/>
      </rPr>
      <t xml:space="preserve">, </t>
    </r>
    <r>
      <rPr>
        <i/>
        <sz val="16"/>
        <color indexed="10"/>
        <rFont val="ＭＳ Ｐゴシック"/>
        <family val="3"/>
        <charset val="128"/>
      </rPr>
      <t>偽の場合</t>
    </r>
    <r>
      <rPr>
        <sz val="16"/>
        <color indexed="10"/>
        <rFont val="ＭＳ Ｐゴシック"/>
        <family val="3"/>
        <charset val="128"/>
      </rPr>
      <t>)</t>
    </r>
  </si>
  <si>
    <t>今日の日付</t>
    <rPh sb="0" eb="2">
      <t>キョウ</t>
    </rPh>
    <rPh sb="3" eb="5">
      <t>ヒヅケ</t>
    </rPh>
    <phoneticPr fontId="2"/>
  </si>
  <si>
    <t>お得意様名簿</t>
    <rPh sb="1" eb="3">
      <t>トクイ</t>
    </rPh>
    <rPh sb="3" eb="4">
      <t>サマ</t>
    </rPh>
    <rPh sb="4" eb="6">
      <t>メイボ</t>
    </rPh>
    <phoneticPr fontId="2"/>
  </si>
  <si>
    <t>お名前</t>
    <rPh sb="1" eb="3">
      <t>ナマエ</t>
    </rPh>
    <phoneticPr fontId="2"/>
  </si>
  <si>
    <t>生年月日</t>
    <rPh sb="0" eb="2">
      <t>セイネン</t>
    </rPh>
    <rPh sb="2" eb="4">
      <t>ガッピ</t>
    </rPh>
    <phoneticPr fontId="2"/>
  </si>
  <si>
    <t>長尾 修</t>
    <rPh sb="0" eb="2">
      <t>ナガオ</t>
    </rPh>
    <rPh sb="3" eb="4">
      <t>オサム</t>
    </rPh>
    <phoneticPr fontId="2"/>
  </si>
  <si>
    <t>横山 新也</t>
    <rPh sb="0" eb="2">
      <t>ヨコヤマ</t>
    </rPh>
    <rPh sb="3" eb="5">
      <t>シンヤ</t>
    </rPh>
    <phoneticPr fontId="2"/>
  </si>
  <si>
    <r>
      <t>1</t>
    </r>
    <r>
      <rPr>
        <sz val="12"/>
        <color indexed="12"/>
        <rFont val="ＭＳ Ｐゴシック"/>
        <family val="3"/>
        <charset val="128"/>
      </rPr>
      <t>：=IF(C$40=B47,"○","")</t>
    </r>
    <phoneticPr fontId="2"/>
  </si>
  <si>
    <r>
      <t>3</t>
    </r>
    <r>
      <rPr>
        <sz val="11"/>
        <color indexed="12"/>
        <rFont val="ＭＳ Ｐゴシック"/>
        <family val="3"/>
        <charset val="128"/>
      </rPr>
      <t>：=IF(MONTH(C$40)=MONTH(B47),"○","")</t>
    </r>
    <phoneticPr fontId="2"/>
  </si>
  <si>
    <r>
      <t>2</t>
    </r>
    <r>
      <rPr>
        <sz val="12"/>
        <color indexed="12"/>
        <rFont val="ＭＳ Ｐゴシック"/>
        <family val="3"/>
        <charset val="128"/>
      </rPr>
      <t>：=IF(MONTH(C$40=B47),"○","")</t>
    </r>
    <phoneticPr fontId="2"/>
  </si>
  <si>
    <t>顧客住所一覧</t>
    <rPh sb="0" eb="2">
      <t>コキャク</t>
    </rPh>
    <rPh sb="2" eb="4">
      <t>ジュウショ</t>
    </rPh>
    <rPh sb="4" eb="6">
      <t>イチラン</t>
    </rPh>
    <phoneticPr fontId="2"/>
  </si>
  <si>
    <t>電話番号</t>
    <rPh sb="0" eb="2">
      <t>デンワ</t>
    </rPh>
    <rPh sb="2" eb="4">
      <t>バンゴウ</t>
    </rPh>
    <phoneticPr fontId="2"/>
  </si>
  <si>
    <t>〒</t>
  </si>
  <si>
    <t>都道府県</t>
    <rPh sb="0" eb="4">
      <t>トドウフケン</t>
    </rPh>
    <phoneticPr fontId="2"/>
  </si>
  <si>
    <t>住所</t>
    <rPh sb="0" eb="2">
      <t>ジュウショ</t>
    </rPh>
    <phoneticPr fontId="2"/>
  </si>
  <si>
    <t>チェック</t>
    <phoneticPr fontId="2"/>
  </si>
  <si>
    <t>03-5642-0000</t>
  </si>
  <si>
    <t>103-0015</t>
  </si>
  <si>
    <t>東京都</t>
  </si>
  <si>
    <t>中央区日本橋箱崎町24-1</t>
  </si>
  <si>
    <t/>
  </si>
  <si>
    <t>０３－１１１１－００００</t>
    <phoneticPr fontId="2"/>
  </si>
  <si>
    <t>169-0051</t>
  </si>
  <si>
    <t>新宿区西早稲田0-00-0</t>
  </si>
  <si>
    <t>042-222-0000</t>
  </si>
  <si>
    <t>359-1121</t>
  </si>
  <si>
    <t>埼玉県</t>
    <phoneticPr fontId="2"/>
  </si>
  <si>
    <t>所沢市元町0-00-0</t>
    <phoneticPr fontId="2"/>
  </si>
  <si>
    <t>045-222-0000</t>
  </si>
  <si>
    <t>235-0001</t>
  </si>
  <si>
    <t>神奈川県</t>
  </si>
  <si>
    <t>横浜市磯子区上町0-0</t>
  </si>
  <si>
    <t>０３－４４４４－００００</t>
    <phoneticPr fontId="2"/>
  </si>
  <si>
    <t>104-0045</t>
  </si>
  <si>
    <t>中央区築地0-0-0</t>
  </si>
  <si>
    <t>03-5555-0000</t>
  </si>
  <si>
    <t>164-0001</t>
  </si>
  <si>
    <t>中野区中野0-0</t>
  </si>
  <si>
    <t>045-222-0001</t>
    <phoneticPr fontId="2"/>
  </si>
  <si>
    <t>045-000-0000</t>
  </si>
  <si>
    <t>222-0031</t>
  </si>
  <si>
    <t>横浜市港北区太尾町0-0-0</t>
  </si>
  <si>
    <t>03-7777-0000</t>
  </si>
  <si>
    <t>141-0031</t>
  </si>
  <si>
    <t>品川区西五反田0-0</t>
  </si>
  <si>
    <t>03-2255-0000</t>
  </si>
  <si>
    <t>170-0011</t>
  </si>
  <si>
    <t>豊島区池袋本町0-0-0</t>
  </si>
  <si>
    <t>03-8888-0000</t>
  </si>
  <si>
    <t>102-0083</t>
  </si>
  <si>
    <t>千代田区麹町0-0-0</t>
  </si>
  <si>
    <t>03-9999-0000</t>
  </si>
  <si>
    <t>151-0051</t>
  </si>
  <si>
    <t>渋谷区千駄ケ谷0-0</t>
  </si>
  <si>
    <t>03-2222-0000</t>
  </si>
  <si>
    <t>162-0041</t>
  </si>
  <si>
    <t>新宿区早稲田鶴巻町000</t>
  </si>
  <si>
    <t>０３－８８８８－００００</t>
    <phoneticPr fontId="2"/>
  </si>
  <si>
    <t>0473-88-0000</t>
  </si>
  <si>
    <t>279-0001</t>
  </si>
  <si>
    <t>千葉県</t>
    <phoneticPr fontId="2"/>
  </si>
  <si>
    <t>浦安市当代島0-0-0</t>
    <phoneticPr fontId="2"/>
  </si>
  <si>
    <t>計算方法</t>
    <rPh sb="0" eb="2">
      <t>ケイサン</t>
    </rPh>
    <rPh sb="2" eb="4">
      <t>ホウホウ</t>
    </rPh>
    <phoneticPr fontId="2"/>
  </si>
  <si>
    <r>
      <t>CASIO</t>
    </r>
    <r>
      <rPr>
        <b/>
        <sz val="10"/>
        <color indexed="12"/>
        <rFont val="ＭＳ Ｐゴシック"/>
        <family val="3"/>
        <charset val="128"/>
      </rPr>
      <t>　300LU　CALCULATION</t>
    </r>
    <phoneticPr fontId="2"/>
  </si>
  <si>
    <t>+/-</t>
    <phoneticPr fontId="2"/>
  </si>
  <si>
    <t>MR</t>
    <phoneticPr fontId="2"/>
  </si>
  <si>
    <t>M-</t>
    <phoneticPr fontId="2"/>
  </si>
  <si>
    <t>M+</t>
    <phoneticPr fontId="2"/>
  </si>
  <si>
    <t>÷</t>
    <phoneticPr fontId="2"/>
  </si>
  <si>
    <t>%</t>
    <phoneticPr fontId="2"/>
  </si>
  <si>
    <t>8</t>
    <phoneticPr fontId="2"/>
  </si>
  <si>
    <t>×</t>
    <phoneticPr fontId="2"/>
  </si>
  <si>
    <t>√</t>
    <phoneticPr fontId="2"/>
  </si>
  <si>
    <t>ー</t>
    <phoneticPr fontId="2"/>
  </si>
  <si>
    <t>C</t>
    <phoneticPr fontId="2"/>
  </si>
  <si>
    <t>＋</t>
    <phoneticPr fontId="2"/>
  </si>
  <si>
    <t>AC</t>
    <phoneticPr fontId="2"/>
  </si>
  <si>
    <t>・</t>
    <phoneticPr fontId="2"/>
  </si>
  <si>
    <t>=</t>
    <phoneticPr fontId="2"/>
  </si>
  <si>
    <t>合計</t>
    <phoneticPr fontId="2"/>
  </si>
  <si>
    <t>佐藤　聖子</t>
    <rPh sb="0" eb="2">
      <t>サトウ</t>
    </rPh>
    <rPh sb="3" eb="5">
      <t>セイコ</t>
    </rPh>
    <phoneticPr fontId="2"/>
  </si>
  <si>
    <t>亀井　隆史</t>
    <rPh sb="0" eb="2">
      <t>カメイ</t>
    </rPh>
    <rPh sb="3" eb="5">
      <t>タカフミ</t>
    </rPh>
    <phoneticPr fontId="2"/>
  </si>
  <si>
    <t>小池　五郎</t>
    <rPh sb="0" eb="2">
      <t>コイケ</t>
    </rPh>
    <rPh sb="3" eb="5">
      <t>ゴロウ</t>
    </rPh>
    <phoneticPr fontId="2"/>
  </si>
  <si>
    <t>本日の日付</t>
    <rPh sb="0" eb="2">
      <t>ホンジツ</t>
    </rPh>
    <rPh sb="3" eb="5">
      <t>ヒヅケ</t>
    </rPh>
    <phoneticPr fontId="2"/>
  </si>
  <si>
    <t>誕生月？</t>
    <rPh sb="0" eb="2">
      <t>タンジョウ</t>
    </rPh>
    <rPh sb="2" eb="3">
      <t>ヅキ</t>
    </rPh>
    <phoneticPr fontId="2"/>
  </si>
  <si>
    <t>合計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</si>
</sst>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6" formatCode="&quot;¥&quot;#,##0;[Red]&quot;¥&quot;\-#,##0"/>
    <numFmt numFmtId="176" formatCode="0.0%"/>
    <numFmt numFmtId="177" formatCode="yyyy/mm/dd"/>
    <numFmt numFmtId="178" formatCode="0&quot;名様&quot;"/>
    <numFmt numFmtId="179" formatCode="0.0&quot;名様&quot;"/>
    <numFmt numFmtId="180" formatCode="0&quot;回&quot;"/>
    <numFmt numFmtId="181" formatCode="0.000000000_ "/>
    <numFmt numFmtId="182" formatCode="0.0_);[Red]\(0.0\)"/>
  </numFmts>
  <fonts count="32">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b/>
      <sz val="14"/>
      <name val="ＭＳ Ｐゴシック"/>
      <family val="3"/>
      <charset val="128"/>
    </font>
    <font>
      <b/>
      <sz val="16"/>
      <name val="ＭＳ Ｐゴシック"/>
      <family val="3"/>
      <charset val="128"/>
    </font>
    <font>
      <b/>
      <sz val="12"/>
      <color indexed="10"/>
      <name val="ＭＳ Ｐゴシック"/>
      <family val="3"/>
      <charset val="128"/>
    </font>
    <font>
      <sz val="14"/>
      <name val="ＭＳ Ｐゴシック"/>
      <family val="3"/>
      <charset val="128"/>
    </font>
    <font>
      <sz val="11"/>
      <color indexed="12"/>
      <name val="ＭＳ Ｐゴシック"/>
      <family val="3"/>
      <charset val="128"/>
    </font>
    <font>
      <sz val="11"/>
      <color indexed="10"/>
      <name val="ＭＳ Ｐゴシック"/>
      <family val="3"/>
      <charset val="128"/>
    </font>
    <font>
      <sz val="12"/>
      <color indexed="12"/>
      <name val="ＭＳ Ｐゴシック"/>
      <family val="3"/>
      <charset val="128"/>
    </font>
    <font>
      <sz val="12"/>
      <color indexed="10"/>
      <name val="ＭＳ Ｐゴシック"/>
      <family val="3"/>
      <charset val="128"/>
    </font>
    <font>
      <b/>
      <sz val="11"/>
      <color indexed="12"/>
      <name val="ＭＳ Ｐゴシック"/>
      <family val="3"/>
      <charset val="128"/>
    </font>
    <font>
      <b/>
      <sz val="16"/>
      <color indexed="10"/>
      <name val="ＭＳ Ｐゴシック"/>
      <family val="3"/>
      <charset val="128"/>
    </font>
    <font>
      <b/>
      <sz val="10"/>
      <name val="ＭＳ Ｐゴシック"/>
      <family val="3"/>
      <charset val="128"/>
    </font>
    <font>
      <b/>
      <sz val="24"/>
      <name val="ＭＳ Ｐゴシック"/>
      <family val="3"/>
      <charset val="128"/>
    </font>
    <font>
      <b/>
      <i/>
      <sz val="11"/>
      <name val="ＭＳ Ｐゴシック"/>
      <family val="3"/>
      <charset val="128"/>
    </font>
    <font>
      <u/>
      <sz val="11"/>
      <color indexed="12"/>
      <name val="ＭＳ Ｐゴシック"/>
      <family val="3"/>
      <charset val="128"/>
    </font>
    <font>
      <b/>
      <i/>
      <sz val="11"/>
      <color indexed="12"/>
      <name val="ＭＳ Ｐゴシック"/>
      <family val="3"/>
      <charset val="128"/>
    </font>
    <font>
      <u/>
      <sz val="11"/>
      <color indexed="10"/>
      <name val="ＭＳ Ｐゴシック"/>
      <family val="3"/>
      <charset val="128"/>
    </font>
    <font>
      <sz val="14"/>
      <color indexed="12"/>
      <name val="Arial Unicode MS"/>
      <family val="3"/>
    </font>
    <font>
      <sz val="16"/>
      <color indexed="10"/>
      <name val="ＭＳ Ｐゴシック"/>
      <family val="3"/>
      <charset val="128"/>
    </font>
    <font>
      <b/>
      <i/>
      <sz val="16"/>
      <color indexed="10"/>
      <name val="ＭＳ Ｐゴシック"/>
      <family val="3"/>
      <charset val="128"/>
    </font>
    <font>
      <i/>
      <sz val="16"/>
      <color indexed="10"/>
      <name val="ＭＳ Ｐゴシック"/>
      <family val="3"/>
      <charset val="128"/>
    </font>
    <font>
      <sz val="16"/>
      <name val="ＭＳ Ｐゴシック"/>
      <family val="3"/>
      <charset val="128"/>
    </font>
    <font>
      <sz val="9"/>
      <color indexed="8"/>
      <name val="ＭＳ Ｐゴシック"/>
      <family val="3"/>
      <charset val="128"/>
    </font>
    <font>
      <sz val="11"/>
      <color indexed="8"/>
      <name val="ＭＳ Ｐゴシック"/>
      <family val="3"/>
      <charset val="128"/>
    </font>
    <font>
      <sz val="11"/>
      <color indexed="9"/>
      <name val="ＭＳ Ｐゴシック"/>
      <family val="3"/>
      <charset val="128"/>
    </font>
    <font>
      <sz val="11"/>
      <color indexed="43"/>
      <name val="ＭＳ Ｐゴシック"/>
      <family val="3"/>
      <charset val="128"/>
    </font>
    <font>
      <sz val="20"/>
      <name val="ＭＳ Ｐゴシック"/>
      <family val="3"/>
      <charset val="128"/>
    </font>
    <font>
      <b/>
      <sz val="18"/>
      <color indexed="12"/>
      <name val="ＭＳ Ｐゴシック"/>
      <family val="3"/>
      <charset val="128"/>
    </font>
    <font>
      <b/>
      <sz val="10"/>
      <color indexed="12"/>
      <name val="ＭＳ Ｐゴシック"/>
      <family val="3"/>
      <charset val="128"/>
    </font>
  </fonts>
  <fills count="14">
    <fill>
      <patternFill patternType="none"/>
    </fill>
    <fill>
      <patternFill patternType="gray125"/>
    </fill>
    <fill>
      <patternFill patternType="solid">
        <fgColor indexed="45"/>
        <bgColor indexed="64"/>
      </patternFill>
    </fill>
    <fill>
      <patternFill patternType="solid">
        <fgColor indexed="42"/>
        <bgColor indexed="64"/>
      </patternFill>
    </fill>
    <fill>
      <patternFill patternType="solid">
        <fgColor indexed="43"/>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indexed="8"/>
        <bgColor indexed="64"/>
      </patternFill>
    </fill>
    <fill>
      <patternFill patternType="mediumGray">
        <fgColor indexed="9"/>
        <bgColor indexed="22"/>
      </patternFill>
    </fill>
    <fill>
      <patternFill patternType="solid">
        <fgColor indexed="22"/>
        <bgColor indexed="9"/>
      </patternFill>
    </fill>
    <fill>
      <patternFill patternType="solid">
        <fgColor indexed="12"/>
        <bgColor indexed="64"/>
      </patternFill>
    </fill>
    <fill>
      <patternFill patternType="mediumGray">
        <fgColor indexed="9"/>
        <bgColor indexed="41"/>
      </patternFill>
    </fill>
    <fill>
      <patternFill patternType="solid">
        <fgColor indexed="9"/>
        <bgColor indexed="9"/>
      </patternFill>
    </fill>
  </fills>
  <borders count="5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ck">
        <color indexed="10"/>
      </left>
      <right style="thin">
        <color indexed="64"/>
      </right>
      <top style="thick">
        <color indexed="10"/>
      </top>
      <bottom style="thin">
        <color indexed="64"/>
      </bottom>
      <diagonal/>
    </border>
    <border>
      <left style="thin">
        <color indexed="64"/>
      </left>
      <right style="thick">
        <color indexed="10"/>
      </right>
      <top style="thick">
        <color indexed="10"/>
      </top>
      <bottom style="thin">
        <color indexed="64"/>
      </bottom>
      <diagonal/>
    </border>
    <border>
      <left style="thick">
        <color indexed="10"/>
      </left>
      <right style="thin">
        <color indexed="64"/>
      </right>
      <top style="thin">
        <color indexed="64"/>
      </top>
      <bottom style="thick">
        <color indexed="10"/>
      </bottom>
      <diagonal/>
    </border>
    <border>
      <left style="thin">
        <color indexed="64"/>
      </left>
      <right style="thick">
        <color indexed="10"/>
      </right>
      <top style="thin">
        <color indexed="64"/>
      </top>
      <bottom style="thick">
        <color indexed="10"/>
      </bottom>
      <diagonal/>
    </border>
    <border>
      <left style="thick">
        <color indexed="10"/>
      </left>
      <right style="thick">
        <color indexed="10"/>
      </right>
      <top style="thick">
        <color indexed="10"/>
      </top>
      <bottom style="thick">
        <color indexed="10"/>
      </bottom>
      <diagonal/>
    </border>
    <border>
      <left style="thick">
        <color indexed="9"/>
      </left>
      <right/>
      <top style="thick">
        <color indexed="9"/>
      </top>
      <bottom/>
      <diagonal/>
    </border>
    <border>
      <left/>
      <right/>
      <top style="thick">
        <color indexed="9"/>
      </top>
      <bottom/>
      <diagonal/>
    </border>
    <border>
      <left/>
      <right style="thick">
        <color indexed="23"/>
      </right>
      <top style="thick">
        <color indexed="9"/>
      </top>
      <bottom/>
      <diagonal/>
    </border>
    <border>
      <left style="thick">
        <color indexed="9"/>
      </left>
      <right/>
      <top/>
      <bottom/>
      <diagonal/>
    </border>
    <border>
      <left/>
      <right style="thick">
        <color indexed="23"/>
      </right>
      <top/>
      <bottom/>
      <diagonal/>
    </border>
    <border>
      <left style="thick">
        <color indexed="9"/>
      </left>
      <right/>
      <top/>
      <bottom style="thick">
        <color indexed="23"/>
      </bottom>
      <diagonal/>
    </border>
    <border>
      <left/>
      <right/>
      <top/>
      <bottom style="thick">
        <color indexed="23"/>
      </bottom>
      <diagonal/>
    </border>
    <border>
      <left/>
      <right style="thick">
        <color indexed="23"/>
      </right>
      <top/>
      <bottom style="thick">
        <color indexed="23"/>
      </bottom>
      <diagonal/>
    </border>
    <border>
      <left style="thick">
        <color indexed="9"/>
      </left>
      <right style="thick">
        <color indexed="23"/>
      </right>
      <top style="thick">
        <color indexed="9"/>
      </top>
      <bottom style="thick">
        <color indexed="23"/>
      </bottom>
      <diagonal/>
    </border>
    <border>
      <left style="thick">
        <color indexed="9"/>
      </left>
      <right style="thick">
        <color indexed="23"/>
      </right>
      <top/>
      <bottom/>
      <diagonal/>
    </border>
    <border>
      <left style="thick">
        <color indexed="10"/>
      </left>
      <right/>
      <top/>
      <bottom/>
      <diagonal/>
    </border>
    <border>
      <left style="thin">
        <color indexed="64"/>
      </left>
      <right style="thick">
        <color indexed="10"/>
      </right>
      <top style="thin">
        <color indexed="64"/>
      </top>
      <bottom style="thin">
        <color indexed="64"/>
      </bottom>
      <diagonal/>
    </border>
    <border>
      <left style="thin">
        <color indexed="64"/>
      </left>
      <right style="thin">
        <color indexed="64"/>
      </right>
      <top style="thin">
        <color indexed="64"/>
      </top>
      <bottom style="thick">
        <color indexed="10"/>
      </bottom>
      <diagonal/>
    </border>
    <border>
      <left/>
      <right/>
      <top style="thin">
        <color indexed="64"/>
      </top>
      <bottom/>
      <diagonal/>
    </border>
    <border>
      <left/>
      <right/>
      <top style="thick">
        <color indexed="10"/>
      </top>
      <bottom/>
      <diagonal/>
    </border>
    <border>
      <left style="thin">
        <color indexed="8"/>
      </left>
      <right style="thick">
        <color indexed="10"/>
      </right>
      <top style="thin">
        <color indexed="8"/>
      </top>
      <bottom style="thin">
        <color indexed="8"/>
      </bottom>
      <diagonal/>
    </border>
    <border>
      <left style="thin">
        <color indexed="8"/>
      </left>
      <right style="thin">
        <color indexed="8"/>
      </right>
      <top style="thin">
        <color indexed="8"/>
      </top>
      <bottom style="thick">
        <color indexed="10"/>
      </bottom>
      <diagonal/>
    </border>
    <border>
      <left style="thin">
        <color indexed="64"/>
      </left>
      <right style="thick">
        <color indexed="10"/>
      </right>
      <top style="double">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ck">
        <color indexed="10"/>
      </bottom>
      <diagonal/>
    </border>
    <border>
      <left style="thick">
        <color indexed="9"/>
      </left>
      <right style="thick">
        <color indexed="23"/>
      </right>
      <top style="thick">
        <color indexed="9"/>
      </top>
      <bottom/>
      <diagonal/>
    </border>
    <border>
      <left style="thick">
        <color indexed="9"/>
      </left>
      <right style="thick">
        <color indexed="23"/>
      </right>
      <top/>
      <bottom style="thick">
        <color indexed="23"/>
      </bottom>
      <diagonal/>
    </border>
    <border>
      <left style="thick">
        <color indexed="23"/>
      </left>
      <right/>
      <top style="thick">
        <color indexed="23"/>
      </top>
      <bottom style="thick">
        <color indexed="9"/>
      </bottom>
      <diagonal/>
    </border>
    <border>
      <left/>
      <right/>
      <top style="thick">
        <color indexed="23"/>
      </top>
      <bottom style="thick">
        <color indexed="9"/>
      </bottom>
      <diagonal/>
    </border>
    <border>
      <left/>
      <right style="thick">
        <color indexed="9"/>
      </right>
      <top style="thick">
        <color indexed="23"/>
      </top>
      <bottom style="thick">
        <color indexed="9"/>
      </bottom>
      <diagonal/>
    </border>
    <border>
      <left style="thick">
        <color indexed="10"/>
      </left>
      <right style="thick">
        <color indexed="10"/>
      </right>
      <top style="thick">
        <color indexed="10"/>
      </top>
      <bottom style="thin">
        <color indexed="64"/>
      </bottom>
      <diagonal/>
    </border>
    <border>
      <left style="thick">
        <color indexed="10"/>
      </left>
      <right style="thick">
        <color indexed="10"/>
      </right>
      <top style="thin">
        <color indexed="64"/>
      </top>
      <bottom style="thin">
        <color indexed="64"/>
      </bottom>
      <diagonal/>
    </border>
    <border>
      <left style="thick">
        <color indexed="10"/>
      </left>
      <right style="thick">
        <color indexed="10"/>
      </right>
      <top style="thin">
        <color indexed="64"/>
      </top>
      <bottom style="thick">
        <color indexed="10"/>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ck">
        <color indexed="10"/>
      </left>
      <right style="thick">
        <color indexed="10"/>
      </right>
      <top style="thick">
        <color indexed="10"/>
      </top>
      <bottom style="thin">
        <color indexed="8"/>
      </bottom>
      <diagonal/>
    </border>
    <border>
      <left style="thick">
        <color indexed="10"/>
      </left>
      <right style="thick">
        <color indexed="10"/>
      </right>
      <top style="thin">
        <color indexed="8"/>
      </top>
      <bottom style="thin">
        <color indexed="8"/>
      </bottom>
      <diagonal/>
    </border>
    <border>
      <left style="thick">
        <color indexed="10"/>
      </left>
      <right style="thick">
        <color indexed="10"/>
      </right>
      <top style="thin">
        <color indexed="8"/>
      </top>
      <bottom style="thick">
        <color indexed="10"/>
      </bottom>
      <diagonal/>
    </border>
    <border>
      <left style="thin">
        <color indexed="64"/>
      </left>
      <right/>
      <top style="double">
        <color indexed="64"/>
      </top>
      <bottom style="thin">
        <color indexed="64"/>
      </bottom>
      <diagonal/>
    </border>
    <border>
      <left style="thin">
        <color indexed="64"/>
      </left>
      <right style="thin">
        <color indexed="64"/>
      </right>
      <top style="thick">
        <color indexed="10"/>
      </top>
      <bottom style="thin">
        <color indexed="64"/>
      </bottom>
      <diagonal/>
    </border>
    <border>
      <left style="thick">
        <color indexed="10"/>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7" fillId="0" borderId="0" applyNumberFormat="0" applyFill="0" applyBorder="0" applyAlignment="0" applyProtection="0">
      <alignment vertical="top"/>
      <protection locked="0"/>
    </xf>
    <xf numFmtId="6" fontId="1" fillId="0" borderId="0" applyFont="0" applyFill="0" applyBorder="0" applyAlignment="0" applyProtection="0"/>
    <xf numFmtId="0" fontId="26" fillId="0" borderId="0"/>
  </cellStyleXfs>
  <cellXfs count="186">
    <xf numFmtId="0" fontId="0" fillId="0" borderId="0" xfId="0"/>
    <xf numFmtId="14" fontId="0" fillId="0" borderId="0" xfId="0" applyNumberFormat="1"/>
    <xf numFmtId="0" fontId="0" fillId="0" borderId="1" xfId="0" applyBorder="1"/>
    <xf numFmtId="0" fontId="0" fillId="0" borderId="1" xfId="0" applyBorder="1" applyAlignment="1">
      <alignment horizontal="center"/>
    </xf>
    <xf numFmtId="0" fontId="4" fillId="0" borderId="2" xfId="0" applyFont="1" applyBorder="1" applyAlignment="1">
      <alignment horizontal="left"/>
    </xf>
    <xf numFmtId="0" fontId="0" fillId="0" borderId="0" xfId="0" applyFill="1"/>
    <xf numFmtId="0" fontId="0" fillId="0" borderId="0" xfId="0" applyAlignment="1">
      <alignment wrapText="1"/>
    </xf>
    <xf numFmtId="0" fontId="7" fillId="0" borderId="3" xfId="0" applyFont="1" applyBorder="1"/>
    <xf numFmtId="0" fontId="0" fillId="0" borderId="3" xfId="0" applyBorder="1"/>
    <xf numFmtId="0" fontId="0" fillId="2" borderId="1" xfId="0" applyFill="1" applyBorder="1"/>
    <xf numFmtId="2" fontId="0" fillId="0" borderId="1" xfId="0" applyNumberFormat="1" applyBorder="1"/>
    <xf numFmtId="0" fontId="0" fillId="3" borderId="1" xfId="0" applyFill="1" applyBorder="1"/>
    <xf numFmtId="2" fontId="0" fillId="3" borderId="1" xfId="0" applyNumberFormat="1" applyFill="1" applyBorder="1"/>
    <xf numFmtId="0" fontId="0" fillId="3" borderId="1" xfId="0" applyFill="1" applyBorder="1" applyAlignment="1">
      <alignment horizontal="center"/>
    </xf>
    <xf numFmtId="0" fontId="0" fillId="4" borderId="4" xfId="0" applyFill="1" applyBorder="1" applyAlignment="1">
      <alignment horizontal="center"/>
    </xf>
    <xf numFmtId="0" fontId="0" fillId="2" borderId="5" xfId="0" applyFill="1" applyBorder="1"/>
    <xf numFmtId="2" fontId="0" fillId="0" borderId="5" xfId="0" applyNumberFormat="1" applyBorder="1"/>
    <xf numFmtId="0" fontId="0" fillId="3" borderId="5" xfId="0" applyFill="1" applyBorder="1"/>
    <xf numFmtId="0" fontId="0" fillId="5" borderId="4" xfId="0" applyFill="1" applyBorder="1" applyAlignment="1">
      <alignment horizontal="center" vertical="center"/>
    </xf>
    <xf numFmtId="0" fontId="0" fillId="0" borderId="5" xfId="0" applyBorder="1"/>
    <xf numFmtId="2" fontId="0" fillId="3" borderId="5" xfId="0" applyNumberFormat="1" applyFill="1" applyBorder="1"/>
    <xf numFmtId="0" fontId="0" fillId="3" borderId="5" xfId="0" applyFill="1" applyBorder="1" applyAlignment="1">
      <alignment horizontal="center"/>
    </xf>
    <xf numFmtId="0" fontId="1" fillId="0" borderId="0" xfId="0" applyFont="1"/>
    <xf numFmtId="0" fontId="5" fillId="0" borderId="0" xfId="0" applyFont="1"/>
    <xf numFmtId="0" fontId="3" fillId="5" borderId="1" xfId="0" applyFont="1" applyFill="1" applyBorder="1" applyAlignment="1">
      <alignment horizontal="center" vertical="center"/>
    </xf>
    <xf numFmtId="0" fontId="14" fillId="5" borderId="1" xfId="0" applyFont="1" applyFill="1" applyBorder="1" applyAlignment="1">
      <alignment horizontal="center" vertical="center"/>
    </xf>
    <xf numFmtId="6" fontId="0" fillId="0" borderId="6" xfId="3" applyFont="1" applyBorder="1" applyAlignment="1">
      <alignment horizontal="right" vertical="center"/>
    </xf>
    <xf numFmtId="0" fontId="1" fillId="0" borderId="7" xfId="0" applyFont="1" applyBorder="1" applyAlignment="1">
      <alignment horizontal="center"/>
    </xf>
    <xf numFmtId="6" fontId="1" fillId="0" borderId="8" xfId="3" applyFont="1" applyBorder="1" applyAlignment="1">
      <alignment horizontal="left"/>
    </xf>
    <xf numFmtId="177" fontId="1" fillId="0" borderId="6" xfId="0" applyNumberFormat="1" applyFont="1" applyBorder="1"/>
    <xf numFmtId="177" fontId="1" fillId="0" borderId="8" xfId="0" applyNumberFormat="1" applyFont="1" applyBorder="1" applyAlignment="1">
      <alignment horizontal="left"/>
    </xf>
    <xf numFmtId="176" fontId="1" fillId="0" borderId="0" xfId="1" applyNumberFormat="1" applyFont="1" applyBorder="1"/>
    <xf numFmtId="0" fontId="14" fillId="5" borderId="1" xfId="0" applyFont="1" applyFill="1" applyBorder="1" applyAlignment="1">
      <alignment horizontal="center"/>
    </xf>
    <xf numFmtId="177" fontId="1" fillId="0" borderId="1" xfId="0" applyNumberFormat="1" applyFont="1" applyBorder="1"/>
    <xf numFmtId="6" fontId="1" fillId="0" borderId="1" xfId="3" applyFont="1" applyBorder="1"/>
    <xf numFmtId="0" fontId="0" fillId="6" borderId="0" xfId="0" applyFill="1"/>
    <xf numFmtId="0" fontId="6" fillId="7" borderId="0" xfId="0" applyFont="1" applyFill="1" applyAlignment="1">
      <alignment wrapText="1"/>
    </xf>
    <xf numFmtId="0" fontId="24" fillId="0" borderId="0" xfId="0" applyFont="1"/>
    <xf numFmtId="14" fontId="0" fillId="0" borderId="1" xfId="0" applyNumberFormat="1" applyBorder="1"/>
    <xf numFmtId="0" fontId="11" fillId="7" borderId="0" xfId="0" applyFont="1" applyFill="1" applyAlignment="1">
      <alignment wrapText="1"/>
    </xf>
    <xf numFmtId="0" fontId="9" fillId="0" borderId="0" xfId="0" applyFont="1" applyAlignment="1">
      <alignment wrapText="1"/>
    </xf>
    <xf numFmtId="0" fontId="25" fillId="6" borderId="9" xfId="4" applyFont="1" applyFill="1" applyBorder="1" applyAlignment="1">
      <alignment horizontal="center"/>
    </xf>
    <xf numFmtId="49" fontId="25" fillId="0" borderId="10" xfId="4" applyNumberFormat="1" applyFont="1" applyFill="1" applyBorder="1" applyAlignment="1">
      <alignment horizontal="left" wrapText="1"/>
    </xf>
    <xf numFmtId="0" fontId="25" fillId="0" borderId="9" xfId="4" applyFont="1" applyFill="1" applyBorder="1" applyAlignment="1">
      <alignment horizontal="left" wrapText="1"/>
    </xf>
    <xf numFmtId="0" fontId="0" fillId="0" borderId="0" xfId="0" applyAlignment="1">
      <alignment horizontal="center"/>
    </xf>
    <xf numFmtId="2" fontId="0" fillId="0" borderId="6" xfId="0" applyNumberFormat="1" applyBorder="1"/>
    <xf numFmtId="0" fontId="0" fillId="3" borderId="8" xfId="0" applyFill="1" applyBorder="1" applyAlignment="1">
      <alignment horizontal="center"/>
    </xf>
    <xf numFmtId="2" fontId="0" fillId="3" borderId="4" xfId="0" applyNumberFormat="1" applyFill="1" applyBorder="1"/>
    <xf numFmtId="0" fontId="0" fillId="3" borderId="4" xfId="0" applyFill="1" applyBorder="1"/>
    <xf numFmtId="2" fontId="0" fillId="3" borderId="11" xfId="0" applyNumberFormat="1" applyFill="1" applyBorder="1"/>
    <xf numFmtId="0" fontId="0" fillId="3" borderId="11" xfId="0" applyFill="1" applyBorder="1"/>
    <xf numFmtId="2" fontId="0" fillId="3" borderId="12" xfId="0" applyNumberFormat="1" applyFill="1" applyBorder="1"/>
    <xf numFmtId="0" fontId="0" fillId="3" borderId="13" xfId="0" applyFill="1" applyBorder="1"/>
    <xf numFmtId="2" fontId="0" fillId="3" borderId="14" xfId="0" applyNumberFormat="1" applyFill="1" applyBorder="1"/>
    <xf numFmtId="0" fontId="0" fillId="3" borderId="15" xfId="0" applyFill="1" applyBorder="1"/>
    <xf numFmtId="0" fontId="0" fillId="3" borderId="7" xfId="0" applyFill="1" applyBorder="1" applyAlignment="1">
      <alignment horizontal="center"/>
    </xf>
    <xf numFmtId="181" fontId="0" fillId="0" borderId="16" xfId="0" applyNumberFormat="1" applyBorder="1"/>
    <xf numFmtId="0" fontId="0" fillId="7" borderId="4" xfId="0" applyFill="1" applyBorder="1" applyAlignment="1">
      <alignment horizontal="center" vertical="center"/>
    </xf>
    <xf numFmtId="0" fontId="0" fillId="7" borderId="5" xfId="0" applyFill="1" applyBorder="1"/>
    <xf numFmtId="0" fontId="0" fillId="7" borderId="1" xfId="0" applyFill="1" applyBorder="1"/>
    <xf numFmtId="0" fontId="28" fillId="8" borderId="0" xfId="0" applyFont="1" applyFill="1" applyAlignment="1">
      <alignment horizontal="center" vertical="center"/>
    </xf>
    <xf numFmtId="0" fontId="0" fillId="9" borderId="17" xfId="0" applyFill="1" applyBorder="1"/>
    <xf numFmtId="0" fontId="0" fillId="9" borderId="18" xfId="0" applyFill="1" applyBorder="1"/>
    <xf numFmtId="0" fontId="0" fillId="9" borderId="19" xfId="0" applyFill="1" applyBorder="1"/>
    <xf numFmtId="0" fontId="0" fillId="9" borderId="20" xfId="0" applyFill="1" applyBorder="1"/>
    <xf numFmtId="0" fontId="0" fillId="9" borderId="21" xfId="0" applyFill="1" applyBorder="1"/>
    <xf numFmtId="0" fontId="0" fillId="9" borderId="0" xfId="0" applyFill="1" applyBorder="1"/>
    <xf numFmtId="0" fontId="0" fillId="9" borderId="22" xfId="0" applyFill="1" applyBorder="1"/>
    <xf numFmtId="0" fontId="0" fillId="9" borderId="23" xfId="0" applyFill="1" applyBorder="1"/>
    <xf numFmtId="0" fontId="0" fillId="9" borderId="24" xfId="0" applyFill="1" applyBorder="1"/>
    <xf numFmtId="49" fontId="29" fillId="10" borderId="25" xfId="0" applyNumberFormat="1" applyFont="1" applyFill="1" applyBorder="1" applyAlignment="1">
      <alignment horizontal="center" vertical="center"/>
    </xf>
    <xf numFmtId="49" fontId="0" fillId="10" borderId="0" xfId="0" applyNumberFormat="1" applyFill="1" applyBorder="1"/>
    <xf numFmtId="49" fontId="29" fillId="10" borderId="18" xfId="0" applyNumberFormat="1" applyFont="1" applyFill="1" applyBorder="1" applyAlignment="1">
      <alignment horizontal="center" vertical="center"/>
    </xf>
    <xf numFmtId="49" fontId="29" fillId="10" borderId="26" xfId="0" applyNumberFormat="1" applyFont="1" applyFill="1" applyBorder="1" applyAlignment="1">
      <alignment horizontal="center" vertical="center"/>
    </xf>
    <xf numFmtId="49" fontId="29" fillId="10" borderId="0" xfId="0" applyNumberFormat="1" applyFont="1" applyFill="1" applyBorder="1" applyAlignment="1">
      <alignment horizontal="center" vertical="center"/>
    </xf>
    <xf numFmtId="49" fontId="29" fillId="10" borderId="23" xfId="0" applyNumberFormat="1" applyFont="1" applyFill="1" applyBorder="1" applyAlignment="1">
      <alignment horizontal="center" vertical="center"/>
    </xf>
    <xf numFmtId="0" fontId="1" fillId="0" borderId="27" xfId="0" applyFont="1" applyBorder="1"/>
    <xf numFmtId="6" fontId="1" fillId="0" borderId="7" xfId="3" applyFont="1" applyFill="1" applyBorder="1"/>
    <xf numFmtId="0" fontId="1" fillId="0" borderId="28" xfId="0" applyFont="1" applyBorder="1"/>
    <xf numFmtId="0" fontId="1" fillId="0" borderId="28" xfId="0" applyFont="1" applyBorder="1" applyAlignment="1">
      <alignment horizontal="right"/>
    </xf>
    <xf numFmtId="0" fontId="1" fillId="0" borderId="28" xfId="0" applyFont="1" applyBorder="1" applyAlignment="1">
      <alignment horizontal="center"/>
    </xf>
    <xf numFmtId="6" fontId="1" fillId="0" borderId="2" xfId="3" applyFont="1" applyFill="1" applyBorder="1"/>
    <xf numFmtId="0" fontId="14" fillId="5" borderId="29" xfId="0" applyFont="1" applyFill="1" applyBorder="1" applyAlignment="1">
      <alignment horizontal="center"/>
    </xf>
    <xf numFmtId="6" fontId="1" fillId="0" borderId="30" xfId="3" applyFont="1" applyFill="1" applyBorder="1"/>
    <xf numFmtId="0" fontId="1" fillId="0" borderId="31" xfId="0" applyFont="1" applyBorder="1"/>
    <xf numFmtId="0" fontId="0" fillId="0" borderId="27" xfId="0" applyBorder="1"/>
    <xf numFmtId="0" fontId="25" fillId="0" borderId="7" xfId="4" applyFont="1" applyFill="1" applyBorder="1" applyAlignment="1">
      <alignment horizontal="center" wrapText="1"/>
    </xf>
    <xf numFmtId="0" fontId="25" fillId="0" borderId="32" xfId="4" applyFont="1" applyFill="1" applyBorder="1" applyAlignment="1">
      <alignment horizontal="left" wrapText="1"/>
    </xf>
    <xf numFmtId="0" fontId="25" fillId="0" borderId="2" xfId="4" applyFont="1" applyFill="1" applyBorder="1" applyAlignment="1">
      <alignment horizontal="center" wrapText="1"/>
    </xf>
    <xf numFmtId="0" fontId="25" fillId="6" borderId="33" xfId="4" applyFont="1" applyFill="1" applyBorder="1" applyAlignment="1">
      <alignment horizontal="center"/>
    </xf>
    <xf numFmtId="0" fontId="25" fillId="0" borderId="30" xfId="4" applyFont="1" applyFill="1" applyBorder="1" applyAlignment="1">
      <alignment horizontal="center" wrapText="1"/>
    </xf>
    <xf numFmtId="0" fontId="0" fillId="0" borderId="31" xfId="0" applyBorder="1" applyAlignment="1">
      <alignment horizontal="center"/>
    </xf>
    <xf numFmtId="0" fontId="0" fillId="0" borderId="6" xfId="0" applyBorder="1" applyAlignment="1">
      <alignment horizontal="center"/>
    </xf>
    <xf numFmtId="0" fontId="0" fillId="0" borderId="8" xfId="0" applyBorder="1"/>
    <xf numFmtId="0" fontId="0" fillId="0" borderId="34" xfId="0" applyBorder="1"/>
    <xf numFmtId="0" fontId="0" fillId="0" borderId="28" xfId="0" applyBorder="1"/>
    <xf numFmtId="0" fontId="0" fillId="0" borderId="35" xfId="0" applyBorder="1"/>
    <xf numFmtId="0" fontId="0" fillId="0" borderId="11" xfId="0" applyBorder="1" applyAlignment="1">
      <alignment horizontal="center"/>
    </xf>
    <xf numFmtId="0" fontId="0" fillId="0" borderId="36" xfId="0" applyBorder="1" applyAlignment="1">
      <alignment horizontal="center"/>
    </xf>
    <xf numFmtId="0" fontId="0" fillId="5" borderId="29" xfId="0" applyFill="1" applyBorder="1" applyAlignment="1">
      <alignment horizontal="center" vertical="center"/>
    </xf>
    <xf numFmtId="0" fontId="0" fillId="0" borderId="37" xfId="0" applyBorder="1"/>
    <xf numFmtId="0" fontId="0" fillId="0" borderId="4" xfId="0" applyBorder="1" applyAlignment="1">
      <alignment horizontal="center"/>
    </xf>
    <xf numFmtId="0" fontId="0" fillId="0" borderId="38" xfId="0" applyBorder="1" applyAlignment="1">
      <alignment horizontal="center"/>
    </xf>
    <xf numFmtId="0" fontId="0" fillId="0" borderId="31" xfId="0" applyBorder="1"/>
    <xf numFmtId="0" fontId="0" fillId="3" borderId="6" xfId="0" applyFill="1" applyBorder="1"/>
    <xf numFmtId="0" fontId="0" fillId="3" borderId="8" xfId="0" applyFill="1" applyBorder="1"/>
    <xf numFmtId="2" fontId="0" fillId="0" borderId="34" xfId="0" applyNumberFormat="1" applyBorder="1"/>
    <xf numFmtId="2" fontId="0" fillId="0" borderId="28" xfId="0" applyNumberFormat="1" applyBorder="1"/>
    <xf numFmtId="182" fontId="0" fillId="3" borderId="35" xfId="0" applyNumberFormat="1" applyFill="1" applyBorder="1"/>
    <xf numFmtId="0" fontId="0" fillId="3" borderId="36" xfId="0" applyFill="1" applyBorder="1"/>
    <xf numFmtId="0" fontId="0" fillId="4" borderId="29" xfId="0" applyFill="1" applyBorder="1" applyAlignment="1">
      <alignment horizontal="center"/>
    </xf>
    <xf numFmtId="0" fontId="0" fillId="3" borderId="37" xfId="0" applyFill="1" applyBorder="1"/>
    <xf numFmtId="0" fontId="0" fillId="3" borderId="38" xfId="0" applyFill="1" applyBorder="1"/>
    <xf numFmtId="0" fontId="0" fillId="0" borderId="7" xfId="0" applyBorder="1" applyAlignment="1">
      <alignment horizontal="center"/>
    </xf>
    <xf numFmtId="14" fontId="0" fillId="0" borderId="28" xfId="0" applyNumberFormat="1" applyBorder="1"/>
    <xf numFmtId="0" fontId="0" fillId="0" borderId="2" xfId="0" applyBorder="1" applyAlignment="1">
      <alignment horizontal="center"/>
    </xf>
    <xf numFmtId="0" fontId="0" fillId="0" borderId="30" xfId="0" applyBorder="1" applyAlignment="1">
      <alignment horizontal="center"/>
    </xf>
    <xf numFmtId="0" fontId="0" fillId="3" borderId="29" xfId="0" applyFill="1" applyBorder="1" applyAlignment="1">
      <alignment horizontal="center"/>
    </xf>
    <xf numFmtId="0" fontId="0" fillId="6" borderId="27" xfId="0" applyFill="1" applyBorder="1"/>
    <xf numFmtId="1" fontId="0" fillId="7" borderId="7" xfId="0" applyNumberFormat="1" applyFill="1" applyBorder="1"/>
    <xf numFmtId="0" fontId="0" fillId="7" borderId="34" xfId="0" applyFill="1" applyBorder="1"/>
    <xf numFmtId="0" fontId="0" fillId="7" borderId="28" xfId="0" applyFill="1" applyBorder="1"/>
    <xf numFmtId="1" fontId="0" fillId="7" borderId="2" xfId="0" applyNumberFormat="1" applyFill="1" applyBorder="1"/>
    <xf numFmtId="0" fontId="27" fillId="11" borderId="39" xfId="0" applyFont="1" applyFill="1" applyBorder="1" applyAlignment="1">
      <alignment horizontal="center"/>
    </xf>
    <xf numFmtId="1" fontId="0" fillId="7" borderId="30" xfId="0" applyNumberFormat="1" applyFill="1" applyBorder="1"/>
    <xf numFmtId="0" fontId="0" fillId="6" borderId="31" xfId="0" applyFill="1" applyBorder="1"/>
    <xf numFmtId="0" fontId="1" fillId="0" borderId="6" xfId="0" applyFont="1" applyBorder="1"/>
    <xf numFmtId="0" fontId="1" fillId="0" borderId="6" xfId="0" applyFont="1" applyBorder="1" applyAlignment="1">
      <alignment horizontal="right"/>
    </xf>
    <xf numFmtId="0" fontId="1" fillId="0" borderId="6" xfId="0" applyFont="1" applyBorder="1" applyAlignment="1">
      <alignment horizontal="center"/>
    </xf>
    <xf numFmtId="0" fontId="14" fillId="5" borderId="4" xfId="0" applyFont="1" applyFill="1" applyBorder="1" applyAlignment="1">
      <alignment horizontal="center"/>
    </xf>
    <xf numFmtId="6" fontId="1" fillId="0" borderId="45" xfId="3" applyFont="1" applyBorder="1"/>
    <xf numFmtId="6" fontId="1" fillId="0" borderId="46" xfId="3" applyFont="1" applyBorder="1"/>
    <xf numFmtId="6" fontId="1" fillId="0" borderId="47" xfId="3" applyFont="1" applyBorder="1"/>
    <xf numFmtId="0" fontId="25" fillId="0" borderId="48" xfId="4" applyFont="1" applyFill="1" applyBorder="1" applyAlignment="1">
      <alignment horizontal="left" wrapText="1"/>
    </xf>
    <xf numFmtId="0" fontId="25" fillId="6" borderId="49" xfId="4" applyFont="1" applyFill="1" applyBorder="1" applyAlignment="1">
      <alignment horizontal="center"/>
    </xf>
    <xf numFmtId="0" fontId="25" fillId="0" borderId="50" xfId="4" applyFont="1" applyFill="1" applyBorder="1" applyAlignment="1">
      <alignment horizontal="center" wrapText="1"/>
    </xf>
    <xf numFmtId="0" fontId="25" fillId="0" borderId="51" xfId="4" applyFont="1" applyFill="1" applyBorder="1" applyAlignment="1">
      <alignment horizontal="center" wrapText="1"/>
    </xf>
    <xf numFmtId="0" fontId="25" fillId="0" borderId="52" xfId="4" applyFont="1" applyFill="1" applyBorder="1" applyAlignment="1">
      <alignment horizontal="center" wrapText="1"/>
    </xf>
    <xf numFmtId="0" fontId="0" fillId="0" borderId="53" xfId="0" applyBorder="1"/>
    <xf numFmtId="0" fontId="0" fillId="0" borderId="6" xfId="0" applyBorder="1"/>
    <xf numFmtId="0" fontId="0" fillId="0" borderId="12" xfId="0" applyBorder="1"/>
    <xf numFmtId="0" fontId="0" fillId="0" borderId="54" xfId="0" applyBorder="1" applyAlignment="1">
      <alignment horizontal="center"/>
    </xf>
    <xf numFmtId="0" fontId="0" fillId="0" borderId="13" xfId="0" applyBorder="1" applyAlignment="1">
      <alignment horizontal="center"/>
    </xf>
    <xf numFmtId="0" fontId="0" fillId="0" borderId="55" xfId="0" applyBorder="1"/>
    <xf numFmtId="0" fontId="0" fillId="0" borderId="28" xfId="0" applyBorder="1" applyAlignment="1">
      <alignment horizontal="center"/>
    </xf>
    <xf numFmtId="0" fontId="0" fillId="0" borderId="14" xfId="0" applyBorder="1"/>
    <xf numFmtId="0" fontId="0" fillId="0" borderId="29" xfId="0" applyBorder="1" applyAlignment="1">
      <alignment horizontal="center"/>
    </xf>
    <xf numFmtId="0" fontId="0" fillId="0" borderId="15" xfId="0" applyBorder="1" applyAlignment="1">
      <alignment horizontal="center"/>
    </xf>
    <xf numFmtId="2" fontId="0" fillId="0" borderId="53" xfId="0" applyNumberFormat="1" applyBorder="1"/>
    <xf numFmtId="0" fontId="0" fillId="3" borderId="54" xfId="0" applyFill="1" applyBorder="1"/>
    <xf numFmtId="0" fontId="0" fillId="3" borderId="13" xfId="0" applyFill="1" applyBorder="1" applyAlignment="1">
      <alignment horizontal="center"/>
    </xf>
    <xf numFmtId="2" fontId="0" fillId="3" borderId="55" xfId="0" applyNumberFormat="1" applyFill="1" applyBorder="1"/>
    <xf numFmtId="0" fontId="0" fillId="3" borderId="28" xfId="0" applyFill="1" applyBorder="1" applyAlignment="1">
      <alignment horizontal="center"/>
    </xf>
    <xf numFmtId="0" fontId="0" fillId="3" borderId="29" xfId="0" applyFill="1" applyBorder="1"/>
    <xf numFmtId="0" fontId="0" fillId="3" borderId="15" xfId="0" applyFill="1" applyBorder="1" applyAlignment="1">
      <alignment horizontal="center"/>
    </xf>
    <xf numFmtId="0" fontId="15" fillId="0" borderId="0" xfId="0" applyFont="1" applyFill="1" applyAlignment="1">
      <alignment wrapText="1"/>
    </xf>
    <xf numFmtId="0" fontId="3" fillId="0" borderId="0" xfId="0" applyFont="1" applyFill="1" applyAlignment="1">
      <alignment wrapText="1"/>
    </xf>
    <xf numFmtId="0" fontId="13" fillId="0" borderId="0" xfId="0" applyFont="1" applyFill="1" applyAlignment="1">
      <alignment wrapText="1"/>
    </xf>
    <xf numFmtId="0" fontId="20" fillId="0" borderId="0" xfId="0" applyFont="1" applyFill="1" applyAlignment="1">
      <alignment wrapText="1"/>
    </xf>
    <xf numFmtId="0" fontId="12" fillId="0" borderId="0" xfId="0" applyFont="1" applyFill="1" applyAlignment="1">
      <alignment horizontal="left" vertical="center" wrapText="1"/>
    </xf>
    <xf numFmtId="0" fontId="3" fillId="0" borderId="0" xfId="0" applyFont="1" applyFill="1" applyAlignment="1">
      <alignment horizontal="center" vertical="center" wrapText="1"/>
    </xf>
    <xf numFmtId="0" fontId="8" fillId="0" borderId="0" xfId="0" applyFont="1" applyFill="1" applyAlignment="1">
      <alignment vertical="top" wrapText="1"/>
    </xf>
    <xf numFmtId="0" fontId="0" fillId="0" borderId="0" xfId="0" applyFill="1" applyAlignment="1">
      <alignment vertical="top" wrapText="1"/>
    </xf>
    <xf numFmtId="0" fontId="0" fillId="0" borderId="0" xfId="0" applyFill="1" applyAlignment="1">
      <alignment wrapText="1"/>
    </xf>
    <xf numFmtId="0" fontId="8" fillId="0" borderId="0" xfId="0" applyFont="1" applyFill="1" applyAlignment="1">
      <alignment horizontal="left" wrapText="1"/>
    </xf>
    <xf numFmtId="0" fontId="0" fillId="0" borderId="0" xfId="0" applyFill="1" applyAlignment="1">
      <alignment horizontal="left" wrapText="1"/>
    </xf>
    <xf numFmtId="0" fontId="0" fillId="0" borderId="0" xfId="0" applyFill="1" applyAlignment="1">
      <alignment horizontal="left"/>
    </xf>
    <xf numFmtId="0" fontId="17" fillId="0" borderId="0" xfId="2" applyFont="1" applyFill="1" applyAlignment="1" applyProtection="1">
      <alignment horizontal="left" wrapText="1"/>
    </xf>
    <xf numFmtId="0" fontId="16" fillId="0" borderId="0" xfId="0" applyFont="1" applyFill="1" applyAlignment="1">
      <alignment horizontal="left" wrapText="1"/>
    </xf>
    <xf numFmtId="0" fontId="20" fillId="0" borderId="0" xfId="0" applyFont="1" applyFill="1" applyAlignment="1">
      <alignment horizontal="left" wrapText="1"/>
    </xf>
    <xf numFmtId="180" fontId="1" fillId="0" borderId="6" xfId="0" applyNumberFormat="1" applyFont="1" applyBorder="1" applyAlignment="1">
      <alignment horizontal="center"/>
    </xf>
    <xf numFmtId="180" fontId="1" fillId="0" borderId="7" xfId="0" applyNumberFormat="1" applyFont="1" applyBorder="1" applyAlignment="1">
      <alignment horizontal="center"/>
    </xf>
    <xf numFmtId="180" fontId="1" fillId="0" borderId="8" xfId="0" applyNumberFormat="1" applyFont="1" applyBorder="1" applyAlignment="1">
      <alignment horizontal="center"/>
    </xf>
    <xf numFmtId="6" fontId="1" fillId="0" borderId="6" xfId="3" applyFont="1" applyBorder="1" applyAlignment="1">
      <alignment horizontal="center"/>
    </xf>
    <xf numFmtId="6" fontId="1" fillId="0" borderId="7" xfId="3" applyFont="1" applyBorder="1" applyAlignment="1">
      <alignment horizontal="center"/>
    </xf>
    <xf numFmtId="6" fontId="1" fillId="0" borderId="8" xfId="3" applyFont="1" applyBorder="1" applyAlignment="1">
      <alignment horizontal="center"/>
    </xf>
    <xf numFmtId="0" fontId="3" fillId="0" borderId="1" xfId="0" applyFont="1" applyBorder="1" applyAlignment="1">
      <alignment horizontal="center" vertical="center" wrapText="1"/>
    </xf>
    <xf numFmtId="178" fontId="1" fillId="0" borderId="1" xfId="0" applyNumberFormat="1" applyFont="1" applyBorder="1" applyAlignment="1">
      <alignment horizontal="center" vertical="center"/>
    </xf>
    <xf numFmtId="179" fontId="1" fillId="0" borderId="1" xfId="0" applyNumberFormat="1" applyFont="1" applyBorder="1" applyAlignment="1">
      <alignment horizontal="center" vertical="center"/>
    </xf>
    <xf numFmtId="49" fontId="29" fillId="10" borderId="40" xfId="0" applyNumberFormat="1" applyFont="1" applyFill="1" applyBorder="1" applyAlignment="1">
      <alignment horizontal="center" vertical="center"/>
    </xf>
    <xf numFmtId="49" fontId="29" fillId="10" borderId="26" xfId="0" applyNumberFormat="1" applyFont="1" applyFill="1" applyBorder="1" applyAlignment="1">
      <alignment horizontal="center" vertical="center"/>
    </xf>
    <xf numFmtId="49" fontId="29" fillId="10" borderId="41" xfId="0" applyNumberFormat="1" applyFont="1" applyFill="1" applyBorder="1" applyAlignment="1">
      <alignment horizontal="center" vertical="center"/>
    </xf>
    <xf numFmtId="0" fontId="30" fillId="12" borderId="0" xfId="0" applyFont="1" applyFill="1" applyBorder="1" applyAlignment="1">
      <alignment horizontal="center" vertical="center"/>
    </xf>
    <xf numFmtId="0" fontId="0" fillId="13" borderId="42" xfId="0" applyFill="1" applyBorder="1" applyAlignment="1">
      <alignment horizontal="right"/>
    </xf>
    <xf numFmtId="0" fontId="0" fillId="13" borderId="43" xfId="0" applyFill="1" applyBorder="1" applyAlignment="1">
      <alignment horizontal="right"/>
    </xf>
    <xf numFmtId="0" fontId="0" fillId="13" borderId="44" xfId="0" applyFill="1" applyBorder="1" applyAlignment="1">
      <alignment horizontal="right"/>
    </xf>
  </cellXfs>
  <cellStyles count="5">
    <cellStyle name="パーセント" xfId="1" builtinId="5"/>
    <cellStyle name="ハイパーリンク" xfId="2" builtinId="8"/>
    <cellStyle name="通貨" xfId="3" builtinId="7"/>
    <cellStyle name="標準" xfId="0" builtinId="0"/>
    <cellStyle name="標準_Sheet1"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21839;1!A1"/></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21839;2!A1"/></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21839;3!A1"/><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hyperlink" Target="#&#21839;4!A1"/></Relationships>
</file>

<file path=xl/drawings/_rels/drawing5.xml.rels><?xml version="1.0" encoding="UTF-8" standalone="yes"?>
<Relationships xmlns="http://schemas.openxmlformats.org/package/2006/relationships"><Relationship Id="rId1" Type="http://schemas.openxmlformats.org/officeDocument/2006/relationships/hyperlink" Target="#&#21839;5!A1"/></Relationships>
</file>

<file path=xl/drawings/_rels/drawing6.xml.rels><?xml version="1.0" encoding="UTF-8" standalone="yes"?>
<Relationships xmlns="http://schemas.openxmlformats.org/package/2006/relationships"><Relationship Id="rId1" Type="http://schemas.openxmlformats.org/officeDocument/2006/relationships/hyperlink" Target="#&#21839;6!A1"/></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6</xdr:col>
      <xdr:colOff>228600</xdr:colOff>
      <xdr:row>16</xdr:row>
      <xdr:rowOff>19050</xdr:rowOff>
    </xdr:from>
    <xdr:to>
      <xdr:col>7</xdr:col>
      <xdr:colOff>285750</xdr:colOff>
      <xdr:row>19</xdr:row>
      <xdr:rowOff>19050</xdr:rowOff>
    </xdr:to>
    <xdr:sp macro="" textlink="">
      <xdr:nvSpPr>
        <xdr:cNvPr id="15361" name="AutoShape 1">
          <a:hlinkClick xmlns:r="http://schemas.openxmlformats.org/officeDocument/2006/relationships" r:id="rId1"/>
        </xdr:cNvPr>
        <xdr:cNvSpPr>
          <a:spLocks noChangeArrowheads="1"/>
        </xdr:cNvSpPr>
      </xdr:nvSpPr>
      <xdr:spPr bwMode="auto">
        <a:xfrm>
          <a:off x="7305675" y="3695700"/>
          <a:ext cx="742950" cy="514350"/>
        </a:xfrm>
        <a:prstGeom prst="bevel">
          <a:avLst>
            <a:gd name="adj" fmla="val 12500"/>
          </a:avLst>
        </a:prstGeom>
        <a:solidFill>
          <a:srgbClr val="DDFFDD"/>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200" b="1" i="0" u="none" strike="noStrike" baseline="0">
              <a:solidFill>
                <a:srgbClr val="0000FF"/>
              </a:solidFill>
              <a:latin typeface="ＭＳ Ｐゴシック"/>
              <a:ea typeface="ＭＳ Ｐゴシック"/>
            </a:rPr>
            <a:t>問題へ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116205</xdr:rowOff>
    </xdr:from>
    <xdr:to>
      <xdr:col>5</xdr:col>
      <xdr:colOff>136026</xdr:colOff>
      <xdr:row>31</xdr:row>
      <xdr:rowOff>162109</xdr:rowOff>
    </xdr:to>
    <xdr:grpSp>
      <xdr:nvGrpSpPr>
        <xdr:cNvPr id="14344" name="Group 8"/>
        <xdr:cNvGrpSpPr>
          <a:grpSpLocks/>
        </xdr:cNvGrpSpPr>
      </xdr:nvGrpSpPr>
      <xdr:grpSpPr bwMode="auto">
        <a:xfrm>
          <a:off x="0" y="4238625"/>
          <a:ext cx="4342266" cy="1227004"/>
          <a:chOff x="164" y="51"/>
          <a:chExt cx="507" cy="132"/>
        </a:xfrm>
      </xdr:grpSpPr>
      <xdr:sp macro="" textlink="">
        <xdr:nvSpPr>
          <xdr:cNvPr id="14341" name="AutoShape 5"/>
          <xdr:cNvSpPr>
            <a:spLocks noChangeArrowheads="1"/>
          </xdr:cNvSpPr>
        </xdr:nvSpPr>
        <xdr:spPr bwMode="auto">
          <a:xfrm>
            <a:off x="164" y="51"/>
            <a:ext cx="507" cy="90"/>
          </a:xfrm>
          <a:prstGeom prst="roundRect">
            <a:avLst>
              <a:gd name="adj" fmla="val 16667"/>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808080" mc:Ignorable="a14" a14:legacySpreadsheetColorIndex="23"/>
            </a:solidFill>
            <a:round/>
            <a:headEnd/>
            <a:tailEnd/>
          </a:ln>
          <a:effectLst>
            <a:outerShdw dist="35921" dir="2700000" algn="ctr" rotWithShape="0">
              <a:srgbClr val="808080"/>
            </a:outerShdw>
          </a:effectLst>
        </xdr:spPr>
        <xdr:txBody>
          <a:bodyPr vertOverflow="clip" wrap="square" lIns="72000" tIns="82800" rIns="90000" bIns="46800" anchor="t" upright="1"/>
          <a:lstStyle/>
          <a:p>
            <a:pPr algn="l" rtl="0">
              <a:lnSpc>
                <a:spcPts val="1500"/>
              </a:lnSpc>
              <a:defRPr sz="1000"/>
            </a:pPr>
            <a:r>
              <a:rPr lang="ja-JP" altLang="en-US" sz="1200" b="0" i="0" u="none" strike="noStrike" baseline="0">
                <a:solidFill>
                  <a:srgbClr val="FF0000"/>
                </a:solidFill>
                <a:latin typeface="ＭＳ Ｐゴシック"/>
                <a:ea typeface="ＭＳ Ｐゴシック"/>
              </a:rPr>
              <a:t>Ｅ１３</a:t>
            </a:r>
            <a:r>
              <a:rPr lang="ja-JP" altLang="en-US" sz="1200" b="0" i="0" u="none" strike="noStrike" baseline="0">
                <a:solidFill>
                  <a:srgbClr val="0000FF"/>
                </a:solidFill>
                <a:latin typeface="ＭＳ Ｐゴシック"/>
                <a:ea typeface="ＭＳ Ｐゴシック"/>
              </a:rPr>
              <a:t>の計算式を変更して残りの黄色のセルにコピーして下さい。</a:t>
            </a:r>
          </a:p>
          <a:p>
            <a:pPr algn="l" rtl="0">
              <a:lnSpc>
                <a:spcPts val="1500"/>
              </a:lnSpc>
              <a:defRPr sz="1000"/>
            </a:pPr>
            <a:endParaRPr lang="ja-JP" altLang="en-US" sz="1200" b="0" i="0" u="none" strike="noStrike" baseline="0">
              <a:solidFill>
                <a:srgbClr val="0000FF"/>
              </a:solidFill>
              <a:latin typeface="ＭＳ Ｐゴシック"/>
              <a:ea typeface="ＭＳ Ｐゴシック"/>
            </a:endParaRPr>
          </a:p>
          <a:p>
            <a:pPr algn="l" rtl="0">
              <a:lnSpc>
                <a:spcPts val="1500"/>
              </a:lnSpc>
              <a:defRPr sz="1000"/>
            </a:pPr>
            <a:r>
              <a:rPr lang="ja-JP" altLang="en-US" sz="1200" b="0" i="0" u="none" strike="noStrike" baseline="0">
                <a:solidFill>
                  <a:srgbClr val="0000FF"/>
                </a:solidFill>
                <a:latin typeface="ＭＳ Ｐゴシック"/>
                <a:ea typeface="ＭＳ Ｐゴシック"/>
              </a:rPr>
              <a:t>参加者数の欄が「</a:t>
            </a:r>
            <a:r>
              <a:rPr lang="ja-JP" altLang="en-US" sz="1200" b="0" i="0" u="none" strike="noStrike" baseline="0">
                <a:solidFill>
                  <a:srgbClr val="FF0000"/>
                </a:solidFill>
                <a:latin typeface="ＭＳ Ｐゴシック"/>
                <a:ea typeface="ＭＳ Ｐゴシック"/>
              </a:rPr>
              <a:t>中止</a:t>
            </a:r>
            <a:r>
              <a:rPr lang="ja-JP" altLang="en-US" sz="1200" b="0" i="0" u="none" strike="noStrike" baseline="0">
                <a:solidFill>
                  <a:srgbClr val="0000FF"/>
                </a:solidFill>
                <a:latin typeface="ＭＳ Ｐゴシック"/>
                <a:ea typeface="ＭＳ Ｐゴシック"/>
              </a:rPr>
              <a:t>」の時は、</a:t>
            </a:r>
            <a:r>
              <a:rPr lang="ja-JP" altLang="en-US" sz="1200" b="1" i="0" u="none" strike="noStrike" baseline="0">
                <a:solidFill>
                  <a:srgbClr val="0000FF"/>
                </a:solidFill>
                <a:latin typeface="ＭＳ Ｐゴシック"/>
                <a:ea typeface="ＭＳ Ｐゴシック"/>
              </a:rPr>
              <a:t>￥０</a:t>
            </a:r>
            <a:r>
              <a:rPr lang="ja-JP" altLang="en-US" sz="1200" b="0" i="0" u="none" strike="noStrike" baseline="0">
                <a:solidFill>
                  <a:srgbClr val="0000FF"/>
                </a:solidFill>
                <a:latin typeface="ＭＳ Ｐゴシック"/>
                <a:ea typeface="ＭＳ Ｐゴシック"/>
              </a:rPr>
              <a:t>　と表示する事。</a:t>
            </a:r>
          </a:p>
          <a:p>
            <a:pPr algn="l" rtl="0">
              <a:lnSpc>
                <a:spcPts val="1400"/>
              </a:lnSpc>
              <a:defRPr sz="1000"/>
            </a:pPr>
            <a:endParaRPr lang="ja-JP" altLang="en-US" sz="1200" b="0" i="0" u="none" strike="noStrike" baseline="0">
              <a:solidFill>
                <a:srgbClr val="0000FF"/>
              </a:solidFill>
              <a:latin typeface="ＭＳ Ｐゴシック"/>
              <a:ea typeface="ＭＳ Ｐゴシック"/>
            </a:endParaRPr>
          </a:p>
        </xdr:txBody>
      </xdr:sp>
      <xdr:sp macro="" textlink="">
        <xdr:nvSpPr>
          <xdr:cNvPr id="14343" name="AutoShape 7">
            <a:hlinkClick xmlns:r="http://schemas.openxmlformats.org/officeDocument/2006/relationships" r:id="rId1"/>
          </xdr:cNvPr>
          <xdr:cNvSpPr>
            <a:spLocks noChangeArrowheads="1"/>
          </xdr:cNvSpPr>
        </xdr:nvSpPr>
        <xdr:spPr bwMode="auto">
          <a:xfrm>
            <a:off x="185" y="151"/>
            <a:ext cx="57" cy="32"/>
          </a:xfrm>
          <a:prstGeom prst="bevel">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sng" strike="noStrike" baseline="0">
                <a:solidFill>
                  <a:srgbClr val="0000FF"/>
                </a:solidFill>
                <a:latin typeface="ＭＳ Ｐゴシック"/>
                <a:ea typeface="ＭＳ Ｐゴシック"/>
              </a:rPr>
              <a:t>次へ</a:t>
            </a:r>
          </a:p>
        </xdr:txBody>
      </xdr:sp>
    </xdr:grpSp>
    <xdr:clientData/>
  </xdr:twoCellAnchor>
  <xdr:twoCellAnchor>
    <xdr:from>
      <xdr:col>5</xdr:col>
      <xdr:colOff>171450</xdr:colOff>
      <xdr:row>50</xdr:row>
      <xdr:rowOff>114300</xdr:rowOff>
    </xdr:from>
    <xdr:to>
      <xdr:col>7</xdr:col>
      <xdr:colOff>66675</xdr:colOff>
      <xdr:row>52</xdr:row>
      <xdr:rowOff>47625</xdr:rowOff>
    </xdr:to>
    <xdr:sp macro="" textlink="">
      <xdr:nvSpPr>
        <xdr:cNvPr id="14345" name="AutoShape 9"/>
        <xdr:cNvSpPr>
          <a:spLocks noChangeArrowheads="1"/>
        </xdr:cNvSpPr>
      </xdr:nvSpPr>
      <xdr:spPr bwMode="auto">
        <a:xfrm>
          <a:off x="4829175" y="8858250"/>
          <a:ext cx="1971675" cy="295275"/>
        </a:xfrm>
        <a:prstGeom prst="wedgeRectCallout">
          <a:avLst>
            <a:gd name="adj1" fmla="val -60630"/>
            <a:gd name="adj2" fmla="val 4838"/>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ゴシック"/>
              <a:ea typeface="ＭＳ Ｐゴシック"/>
            </a:rPr>
            <a:t>=</a:t>
          </a:r>
          <a:r>
            <a:rPr lang="en-US" altLang="ja-JP" sz="1100" b="0" i="0" u="none" strike="noStrike" baseline="0">
              <a:solidFill>
                <a:srgbClr val="FF0000"/>
              </a:solidFill>
              <a:latin typeface="ＭＳ Ｐゴシック"/>
              <a:ea typeface="ＭＳ Ｐゴシック"/>
            </a:rPr>
            <a:t>IF</a:t>
          </a:r>
          <a:r>
            <a:rPr lang="en-US" altLang="ja-JP" sz="1100" b="0" i="0" u="none" strike="noStrike" baseline="0">
              <a:solidFill>
                <a:srgbClr val="000000"/>
              </a:solidFill>
              <a:latin typeface="ＭＳ Ｐゴシック"/>
              <a:ea typeface="ＭＳ Ｐゴシック"/>
            </a:rPr>
            <a:t>(D52="</a:t>
          </a:r>
          <a:r>
            <a:rPr lang="ja-JP" altLang="en-US" sz="1100" b="0" i="0" u="none" strike="noStrike" baseline="0">
              <a:solidFill>
                <a:srgbClr val="FF0000"/>
              </a:solidFill>
              <a:latin typeface="ＭＳ Ｐゴシック"/>
              <a:ea typeface="ＭＳ Ｐゴシック"/>
            </a:rPr>
            <a:t>中止</a:t>
          </a:r>
          <a:r>
            <a:rPr lang="en-US" altLang="ja-JP" sz="1100" b="0" i="0" u="none" strike="noStrike" baseline="0">
              <a:solidFill>
                <a:srgbClr val="000000"/>
              </a:solidFill>
              <a:latin typeface="ＭＳ Ｐゴシック"/>
              <a:ea typeface="ＭＳ Ｐゴシック"/>
            </a:rPr>
            <a:t>",0,C52*D52)</a:t>
          </a:r>
        </a:p>
      </xdr:txBody>
    </xdr:sp>
    <xdr:clientData/>
  </xdr:twoCellAnchor>
  <xdr:twoCellAnchor editAs="oneCell">
    <xdr:from>
      <xdr:col>5</xdr:col>
      <xdr:colOff>85725</xdr:colOff>
      <xdr:row>52</xdr:row>
      <xdr:rowOff>85725</xdr:rowOff>
    </xdr:from>
    <xdr:to>
      <xdr:col>10</xdr:col>
      <xdr:colOff>457200</xdr:colOff>
      <xdr:row>67</xdr:row>
      <xdr:rowOff>38100</xdr:rowOff>
    </xdr:to>
    <xdr:pic>
      <xdr:nvPicPr>
        <xdr:cNvPr id="14346" name="Picture 1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43450" y="9191625"/>
          <a:ext cx="4505325" cy="25431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12</xdr:row>
      <xdr:rowOff>0</xdr:rowOff>
    </xdr:from>
    <xdr:to>
      <xdr:col>12</xdr:col>
      <xdr:colOff>676275</xdr:colOff>
      <xdr:row>30</xdr:row>
      <xdr:rowOff>9525</xdr:rowOff>
    </xdr:to>
    <xdr:pic>
      <xdr:nvPicPr>
        <xdr:cNvPr id="17410" name="Picture 2" descr="イメージ 8"/>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57825" y="2076450"/>
          <a:ext cx="4791075" cy="311467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808080"/>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xdr:row>
      <xdr:rowOff>0</xdr:rowOff>
    </xdr:from>
    <xdr:to>
      <xdr:col>11</xdr:col>
      <xdr:colOff>0</xdr:colOff>
      <xdr:row>9</xdr:row>
      <xdr:rowOff>47625</xdr:rowOff>
    </xdr:to>
    <xdr:grpSp>
      <xdr:nvGrpSpPr>
        <xdr:cNvPr id="17415" name="Group 7"/>
        <xdr:cNvGrpSpPr>
          <a:grpSpLocks/>
        </xdr:cNvGrpSpPr>
      </xdr:nvGrpSpPr>
      <xdr:grpSpPr bwMode="auto">
        <a:xfrm>
          <a:off x="4892040" y="167640"/>
          <a:ext cx="3048000" cy="1403985"/>
          <a:chOff x="573" y="18"/>
          <a:chExt cx="360" cy="151"/>
        </a:xfrm>
      </xdr:grpSpPr>
      <xdr:sp macro="" textlink="">
        <xdr:nvSpPr>
          <xdr:cNvPr id="17409" name="AutoShape 1"/>
          <xdr:cNvSpPr>
            <a:spLocks noChangeArrowheads="1"/>
          </xdr:cNvSpPr>
        </xdr:nvSpPr>
        <xdr:spPr bwMode="auto">
          <a:xfrm>
            <a:off x="573" y="18"/>
            <a:ext cx="360" cy="151"/>
          </a:xfrm>
          <a:prstGeom prst="roundRect">
            <a:avLst>
              <a:gd name="adj" fmla="val 993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808080" mc:Ignorable="a14" a14:legacySpreadsheetColorIndex="23"/>
            </a:solidFill>
            <a:round/>
            <a:headEnd/>
            <a:tailEnd/>
          </a:ln>
          <a:effectLst>
            <a:outerShdw dist="35921" dir="2700000" algn="ctr" rotWithShape="0">
              <a:srgbClr val="808080"/>
            </a:outerShdw>
          </a:effec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「都道府県」が「東京都」以外にチェックしなさい。</a:t>
            </a:r>
          </a:p>
          <a:p>
            <a:pPr algn="l" rtl="0">
              <a:lnSpc>
                <a:spcPts val="1300"/>
              </a:lnSpc>
              <a:defRPr sz="1000"/>
            </a:pPr>
            <a:r>
              <a:rPr lang="ja-JP" altLang="en-US" sz="1100" b="0" i="0" u="none" strike="noStrike" baseline="0">
                <a:solidFill>
                  <a:srgbClr val="000000"/>
                </a:solidFill>
                <a:latin typeface="ＭＳ Ｐゴシック"/>
                <a:ea typeface="ＭＳ Ｐゴシック"/>
              </a:rPr>
              <a:t>チェック記号は「○」とします。</a:t>
            </a: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en-US" altLang="ja-JP" sz="1100" b="0" i="0" u="none" strike="noStrike" baseline="0">
                <a:solidFill>
                  <a:srgbClr val="000000"/>
                </a:solidFill>
                <a:latin typeface="ＭＳ Ｐゴシック"/>
                <a:ea typeface="ＭＳ Ｐゴシック"/>
              </a:rPr>
              <a:t>Hint:</a:t>
            </a:r>
            <a:r>
              <a:rPr lang="ja-JP" altLang="en-US" sz="1100" b="0" i="0" u="none" strike="noStrike" baseline="0">
                <a:solidFill>
                  <a:srgbClr val="000000"/>
                </a:solidFill>
                <a:latin typeface="ＭＳ Ｐゴシック"/>
                <a:ea typeface="ＭＳ Ｐゴシック"/>
              </a:rPr>
              <a:t>　等しくないという記号は「</a:t>
            </a:r>
            <a:r>
              <a:rPr lang="en-US" altLang="ja-JP" sz="1100" b="0" i="0" u="none" strike="noStrike" baseline="0">
                <a:solidFill>
                  <a:srgbClr val="000000"/>
                </a:solidFill>
                <a:latin typeface="ＭＳ Ｐゴシック"/>
                <a:ea typeface="ＭＳ Ｐゴシック"/>
              </a:rPr>
              <a:t>&lt;&gt;</a:t>
            </a:r>
            <a:r>
              <a:rPr lang="ja-JP" altLang="en-US" sz="1100" b="0" i="0" u="none" strike="noStrike" baseline="0">
                <a:solidFill>
                  <a:srgbClr val="000000"/>
                </a:solidFill>
                <a:latin typeface="ＭＳ Ｐゴシック"/>
                <a:ea typeface="ＭＳ Ｐゴシック"/>
              </a:rPr>
              <a:t>」</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下図のようになれば</a:t>
            </a:r>
            <a:r>
              <a:rPr lang="en-US" altLang="ja-JP" sz="1100" b="0" i="0" u="none" strike="noStrike" baseline="0">
                <a:solidFill>
                  <a:srgbClr val="000000"/>
                </a:solidFill>
                <a:latin typeface="ＭＳ Ｐゴシック"/>
                <a:ea typeface="ＭＳ Ｐゴシック"/>
              </a:rPr>
              <a:t>OK</a:t>
            </a:r>
          </a:p>
        </xdr:txBody>
      </xdr:sp>
      <xdr:sp macro="" textlink="">
        <xdr:nvSpPr>
          <xdr:cNvPr id="17414" name="AutoShape 6">
            <a:hlinkClick xmlns:r="http://schemas.openxmlformats.org/officeDocument/2006/relationships" r:id="rId2"/>
          </xdr:cNvPr>
          <xdr:cNvSpPr>
            <a:spLocks noChangeArrowheads="1"/>
          </xdr:cNvSpPr>
        </xdr:nvSpPr>
        <xdr:spPr bwMode="auto">
          <a:xfrm>
            <a:off x="835" y="122"/>
            <a:ext cx="57" cy="32"/>
          </a:xfrm>
          <a:prstGeom prst="bevel">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sng" strike="noStrike" baseline="0">
                <a:solidFill>
                  <a:srgbClr val="0000FF"/>
                </a:solidFill>
                <a:latin typeface="ＭＳ Ｐゴシック"/>
                <a:ea typeface="ＭＳ Ｐゴシック"/>
              </a:rPr>
              <a:t>次へ</a:t>
            </a:r>
          </a:p>
        </xdr:txBody>
      </xdr:sp>
    </xdr:grpSp>
    <xdr:clientData/>
  </xdr:twoCellAnchor>
  <xdr:twoCellAnchor>
    <xdr:from>
      <xdr:col>5</xdr:col>
      <xdr:colOff>171450</xdr:colOff>
      <xdr:row>40</xdr:row>
      <xdr:rowOff>114300</xdr:rowOff>
    </xdr:from>
    <xdr:to>
      <xdr:col>8</xdr:col>
      <xdr:colOff>352425</xdr:colOff>
      <xdr:row>41</xdr:row>
      <xdr:rowOff>171450</xdr:rowOff>
    </xdr:to>
    <xdr:sp macro="" textlink="">
      <xdr:nvSpPr>
        <xdr:cNvPr id="17416" name="AutoShape 8"/>
        <xdr:cNvSpPr>
          <a:spLocks noChangeArrowheads="1"/>
        </xdr:cNvSpPr>
      </xdr:nvSpPr>
      <xdr:spPr bwMode="auto">
        <a:xfrm>
          <a:off x="4943475" y="7010400"/>
          <a:ext cx="2238375" cy="238125"/>
        </a:xfrm>
        <a:prstGeom prst="wedgeRectCallout">
          <a:avLst>
            <a:gd name="adj1" fmla="val -61065"/>
            <a:gd name="adj2" fmla="val 42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ゴシック"/>
              <a:ea typeface="ＭＳ Ｐゴシック"/>
            </a:rPr>
            <a:t>=</a:t>
          </a:r>
          <a:r>
            <a:rPr lang="en-US" altLang="ja-JP" sz="1100" b="0" i="0" u="none" strike="noStrike" baseline="0">
              <a:solidFill>
                <a:srgbClr val="FF0000"/>
              </a:solidFill>
              <a:latin typeface="ＭＳ Ｐゴシック"/>
              <a:ea typeface="ＭＳ Ｐゴシック"/>
            </a:rPr>
            <a:t>IF</a:t>
          </a:r>
          <a:r>
            <a:rPr lang="en-US" altLang="ja-JP" sz="1100" b="0" i="0" u="none" strike="noStrike" baseline="0">
              <a:solidFill>
                <a:srgbClr val="000000"/>
              </a:solidFill>
              <a:latin typeface="ＭＳ Ｐゴシック"/>
              <a:ea typeface="ＭＳ Ｐゴシック"/>
            </a:rPr>
            <a:t>(C42&lt;&gt;"</a:t>
          </a:r>
          <a:r>
            <a:rPr lang="ja-JP" altLang="en-US" sz="1100" b="0" i="0" u="none" strike="noStrike" baseline="0">
              <a:solidFill>
                <a:srgbClr val="FF0000"/>
              </a:solidFill>
              <a:latin typeface="ＭＳ Ｐゴシック"/>
              <a:ea typeface="ＭＳ Ｐゴシック"/>
            </a:rPr>
            <a:t>東京都</a:t>
          </a:r>
          <a:r>
            <a:rPr lang="en-US" altLang="ja-JP" sz="1100" b="0" i="0" u="none" strike="noStrike" baseline="0">
              <a:solidFill>
                <a:srgbClr val="000000"/>
              </a:solidFill>
              <a:latin typeface="ＭＳ Ｐゴシック"/>
              <a:ea typeface="ＭＳ Ｐゴシック"/>
            </a:rPr>
            <a:t>","○","")</a:t>
          </a:r>
        </a:p>
      </xdr:txBody>
    </xdr:sp>
    <xdr:clientData/>
  </xdr:twoCellAnchor>
  <xdr:twoCellAnchor editAs="oneCell">
    <xdr:from>
      <xdr:col>5</xdr:col>
      <xdr:colOff>171450</xdr:colOff>
      <xdr:row>42</xdr:row>
      <xdr:rowOff>28575</xdr:rowOff>
    </xdr:from>
    <xdr:to>
      <xdr:col>11</xdr:col>
      <xdr:colOff>561975</xdr:colOff>
      <xdr:row>56</xdr:row>
      <xdr:rowOff>171450</xdr:rowOff>
    </xdr:to>
    <xdr:pic>
      <xdr:nvPicPr>
        <xdr:cNvPr id="17417" name="Picture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43475" y="7286625"/>
          <a:ext cx="4505325" cy="25431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476250</xdr:colOff>
      <xdr:row>66</xdr:row>
      <xdr:rowOff>114300</xdr:rowOff>
    </xdr:from>
    <xdr:to>
      <xdr:col>11</xdr:col>
      <xdr:colOff>266700</xdr:colOff>
      <xdr:row>93</xdr:row>
      <xdr:rowOff>133350</xdr:rowOff>
    </xdr:to>
    <xdr:sp macro="" textlink="">
      <xdr:nvSpPr>
        <xdr:cNvPr id="11268" name="AutoShape 4"/>
        <xdr:cNvSpPr>
          <a:spLocks noChangeArrowheads="1"/>
        </xdr:cNvSpPr>
      </xdr:nvSpPr>
      <xdr:spPr bwMode="auto">
        <a:xfrm>
          <a:off x="476250" y="11734800"/>
          <a:ext cx="7629525" cy="4648200"/>
        </a:xfrm>
        <a:prstGeom prst="roundRect">
          <a:avLst>
            <a:gd name="adj" fmla="val 16667"/>
          </a:avLst>
        </a:prstGeom>
        <a:solidFill>
          <a:srgbClr val="DDFFDD"/>
        </a:solidFill>
        <a:ln w="57150" cmpd="thickThin">
          <a:solidFill>
            <a:srgbClr xmlns:mc="http://schemas.openxmlformats.org/markup-compatibility/2006" xmlns:a14="http://schemas.microsoft.com/office/drawing/2010/main" val="00FF00" mc:Ignorable="a14" a14:legacySpreadsheetColorIndex="11"/>
          </a:solidFill>
          <a:round/>
          <a:headEnd/>
          <a:tailEnd/>
        </a:ln>
      </xdr:spPr>
      <xdr:txBody>
        <a:bodyPr vertOverflow="clip" wrap="square" lIns="36576" tIns="22860" rIns="0" bIns="0" anchor="t" upright="1"/>
        <a:lstStyle/>
        <a:p>
          <a:pPr algn="l" rtl="0">
            <a:lnSpc>
              <a:spcPts val="1600"/>
            </a:lnSpc>
            <a:defRPr sz="1000"/>
          </a:pPr>
          <a:r>
            <a:rPr lang="en-US" altLang="ja-JP" sz="1400" b="1" i="0" u="none" strike="noStrike" baseline="0">
              <a:solidFill>
                <a:srgbClr val="0000FF"/>
              </a:solidFill>
              <a:latin typeface="ＭＳ Ｐゴシック"/>
              <a:ea typeface="ＭＳ Ｐゴシック"/>
            </a:rPr>
            <a:t>RANK</a:t>
          </a:r>
          <a:r>
            <a:rPr lang="ja-JP" altLang="en-US" sz="1400" b="1" i="0" u="none" strike="noStrike" baseline="0">
              <a:solidFill>
                <a:srgbClr val="0000FF"/>
              </a:solidFill>
              <a:latin typeface="ＭＳ Ｐゴシック"/>
              <a:ea typeface="ＭＳ Ｐゴシック"/>
            </a:rPr>
            <a:t>　</a:t>
          </a:r>
          <a:r>
            <a:rPr lang="ja-JP" altLang="en-US" sz="1100" b="0" i="0" u="none" strike="noStrike" baseline="0">
              <a:solidFill>
                <a:srgbClr val="000000"/>
              </a:solidFill>
              <a:latin typeface="ＭＳ Ｐゴシック"/>
              <a:ea typeface="ＭＳ Ｐゴシック"/>
            </a:rPr>
            <a:t>の使い方</a:t>
          </a:r>
        </a:p>
        <a:p>
          <a:pPr algn="l" rtl="0">
            <a:lnSpc>
              <a:spcPts val="1300"/>
            </a:lnSpc>
            <a:defRPr sz="1000"/>
          </a:pPr>
          <a:r>
            <a:rPr lang="ja-JP" altLang="en-US" sz="1100" b="0" i="0" u="none" strike="noStrike" baseline="0">
              <a:solidFill>
                <a:srgbClr val="FF0000"/>
              </a:solidFill>
              <a:latin typeface="ＭＳ Ｐゴシック"/>
              <a:ea typeface="ＭＳ Ｐゴシック"/>
            </a:rPr>
            <a:t>順序 に従って 範囲 内の数値を並べ替えたとき、数値 が何番目に位置するかを返します。</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書式</a:t>
          </a:r>
        </a:p>
        <a:p>
          <a:pPr algn="l" rtl="0">
            <a:lnSpc>
              <a:spcPts val="1600"/>
            </a:lnSpc>
            <a:defRPr sz="1000"/>
          </a:pPr>
          <a:r>
            <a:rPr lang="en-US" altLang="ja-JP" sz="1400" b="1" i="0" u="none" strike="noStrike" baseline="0">
              <a:solidFill>
                <a:srgbClr val="0000FF"/>
              </a:solidFill>
              <a:latin typeface="ＭＳ Ｐゴシック"/>
              <a:ea typeface="ＭＳ Ｐゴシック"/>
            </a:rPr>
            <a:t>RANK</a:t>
          </a:r>
          <a:r>
            <a:rPr lang="en-US" altLang="ja-JP" sz="1200" b="0" i="0" u="none" strike="noStrike" baseline="0">
              <a:solidFill>
                <a:srgbClr val="0000FF"/>
              </a:solidFill>
              <a:latin typeface="ＭＳ Ｐゴシック"/>
              <a:ea typeface="ＭＳ Ｐゴシック"/>
            </a:rPr>
            <a:t>(</a:t>
          </a:r>
          <a:r>
            <a:rPr lang="ja-JP" altLang="en-US" sz="1200" b="0" i="0" u="none" strike="noStrike" baseline="0">
              <a:solidFill>
                <a:srgbClr val="FF0000"/>
              </a:solidFill>
              <a:latin typeface="ＭＳ Ｐゴシック"/>
              <a:ea typeface="ＭＳ Ｐゴシック"/>
            </a:rPr>
            <a:t>数値</a:t>
          </a:r>
          <a:r>
            <a:rPr lang="en-US" altLang="ja-JP" sz="1200" b="0" i="0" u="none" strike="noStrike" baseline="0">
              <a:solidFill>
                <a:srgbClr val="0000FF"/>
              </a:solidFill>
              <a:latin typeface="ＭＳ Ｐゴシック"/>
              <a:ea typeface="ＭＳ Ｐゴシック"/>
            </a:rPr>
            <a:t>, </a:t>
          </a:r>
          <a:r>
            <a:rPr lang="ja-JP" altLang="en-US" sz="1200" b="0" i="0" u="none" strike="noStrike" baseline="0">
              <a:solidFill>
                <a:srgbClr val="FF0000"/>
              </a:solidFill>
              <a:latin typeface="ＭＳ Ｐゴシック"/>
              <a:ea typeface="ＭＳ Ｐゴシック"/>
            </a:rPr>
            <a:t>範囲</a:t>
          </a:r>
          <a:r>
            <a:rPr lang="en-US" altLang="ja-JP" sz="1200" b="0" i="0" u="none" strike="noStrike" baseline="0">
              <a:solidFill>
                <a:srgbClr val="0000FF"/>
              </a:solidFill>
              <a:latin typeface="ＭＳ Ｐゴシック"/>
              <a:ea typeface="ＭＳ Ｐゴシック"/>
            </a:rPr>
            <a:t>, </a:t>
          </a:r>
          <a:r>
            <a:rPr lang="ja-JP" altLang="en-US" sz="1200" b="0" i="0" u="none" strike="noStrike" baseline="0">
              <a:solidFill>
                <a:srgbClr val="FF0000"/>
              </a:solidFill>
              <a:latin typeface="ＭＳ Ｐゴシック"/>
              <a:ea typeface="ＭＳ Ｐゴシック"/>
            </a:rPr>
            <a:t>順序</a:t>
          </a:r>
          <a:r>
            <a:rPr lang="en-US" altLang="ja-JP" sz="1200" b="0" i="0" u="none" strike="noStrike" baseline="0">
              <a:solidFill>
                <a:srgbClr val="0000FF"/>
              </a:solidFill>
              <a:latin typeface="ＭＳ Ｐゴシック"/>
              <a:ea typeface="ＭＳ Ｐゴシック"/>
            </a:rPr>
            <a:t>)</a:t>
          </a:r>
          <a:endParaRPr lang="en-US" altLang="ja-JP" sz="1100" b="0" i="0" u="none" strike="noStrike" baseline="0">
            <a:solidFill>
              <a:srgbClr val="000000"/>
            </a:solidFill>
            <a:latin typeface="ＭＳ Ｐゴシック"/>
            <a:ea typeface="ＭＳ Ｐゴシック"/>
          </a:endParaRPr>
        </a:p>
        <a:p>
          <a:pPr algn="l" rtl="0">
            <a:lnSpc>
              <a:spcPts val="1300"/>
            </a:lnSpc>
            <a:defRPr sz="1000"/>
          </a:pPr>
          <a:endParaRPr lang="en-US" altLang="ja-JP"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FF0000"/>
              </a:solidFill>
              <a:latin typeface="ＭＳ Ｐゴシック"/>
              <a:ea typeface="ＭＳ Ｐゴシック"/>
            </a:rPr>
            <a:t>数値</a:t>
          </a:r>
          <a:r>
            <a:rPr lang="ja-JP" altLang="en-US" sz="1100" b="0" i="0" u="none" strike="noStrike" baseline="0">
              <a:solidFill>
                <a:srgbClr val="000000"/>
              </a:solidFill>
              <a:latin typeface="ＭＳ Ｐゴシック"/>
              <a:ea typeface="ＭＳ Ｐゴシック"/>
            </a:rPr>
            <a:t>   </a:t>
          </a:r>
          <a:r>
            <a:rPr lang="ja-JP" altLang="en-US" sz="1100" b="0" i="0" u="none" strike="noStrike" baseline="0">
              <a:solidFill>
                <a:srgbClr val="0000FF"/>
              </a:solidFill>
              <a:latin typeface="ＭＳ Ｐゴシック"/>
              <a:ea typeface="ＭＳ Ｐゴシック"/>
            </a:rPr>
            <a:t>範囲 内での順位 </a:t>
          </a:r>
          <a:r>
            <a:rPr lang="en-US" altLang="ja-JP" sz="1100" b="0" i="0" u="none" strike="noStrike" baseline="0">
              <a:solidFill>
                <a:srgbClr val="0000FF"/>
              </a:solidFill>
              <a:latin typeface="ＭＳ Ｐゴシック"/>
              <a:ea typeface="ＭＳ Ｐゴシック"/>
            </a:rPr>
            <a:t>(</a:t>
          </a:r>
          <a:r>
            <a:rPr lang="ja-JP" altLang="en-US" sz="1100" b="0" i="0" u="none" strike="noStrike" baseline="0">
              <a:solidFill>
                <a:srgbClr val="0000FF"/>
              </a:solidFill>
              <a:latin typeface="ＭＳ Ｐゴシック"/>
              <a:ea typeface="ＭＳ Ｐゴシック"/>
            </a:rPr>
            <a:t>位置</a:t>
          </a:r>
          <a:r>
            <a:rPr lang="en-US" altLang="ja-JP" sz="1100" b="0" i="0" u="none" strike="noStrike" baseline="0">
              <a:solidFill>
                <a:srgbClr val="0000FF"/>
              </a:solidFill>
              <a:latin typeface="ＭＳ Ｐゴシック"/>
              <a:ea typeface="ＭＳ Ｐゴシック"/>
            </a:rPr>
            <a:t>) </a:t>
          </a:r>
          <a:r>
            <a:rPr lang="ja-JP" altLang="en-US" sz="1100" b="0" i="0" u="none" strike="noStrike" baseline="0">
              <a:solidFill>
                <a:srgbClr val="0000FF"/>
              </a:solidFill>
              <a:latin typeface="ＭＳ Ｐゴシック"/>
              <a:ea typeface="ＭＳ Ｐゴシック"/>
            </a:rPr>
            <a:t>を調べる数値を指定します。</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FF0000"/>
              </a:solidFill>
              <a:latin typeface="ＭＳ Ｐゴシック"/>
              <a:ea typeface="ＭＳ Ｐゴシック"/>
            </a:rPr>
            <a:t>範囲</a:t>
          </a:r>
          <a:r>
            <a:rPr lang="ja-JP" altLang="en-US" sz="1100" b="0" i="0" u="none" strike="noStrike" baseline="0">
              <a:solidFill>
                <a:srgbClr val="000000"/>
              </a:solidFill>
              <a:latin typeface="ＭＳ Ｐゴシック"/>
              <a:ea typeface="ＭＳ Ｐゴシック"/>
            </a:rPr>
            <a:t>   </a:t>
          </a:r>
          <a:r>
            <a:rPr lang="ja-JP" altLang="en-US" sz="1100" b="0" i="0" u="none" strike="noStrike" baseline="0">
              <a:solidFill>
                <a:srgbClr val="0000FF"/>
              </a:solidFill>
              <a:latin typeface="ＭＳ Ｐゴシック"/>
              <a:ea typeface="ＭＳ Ｐゴシック"/>
            </a:rPr>
            <a:t>数値 を含むセル範囲の参照または名前、または数値配列を指定します。</a:t>
          </a:r>
          <a:r>
            <a:rPr lang="ja-JP" altLang="en-US" sz="1100" b="0" i="0" u="none" strike="noStrike" baseline="0">
              <a:solidFill>
                <a:srgbClr val="000000"/>
              </a:solidFill>
              <a:latin typeface="ＭＳ Ｐゴシック"/>
              <a:ea typeface="ＭＳ Ｐゴシック"/>
            </a:rPr>
            <a:t>範囲 内に含まれている数値だけが計算の対象となり、そこに含まれている文字列、空白セル、論理値は無視されます。また、範囲 内にエラー値が含まれていると、そのエラー値が返されます。</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FF0000"/>
              </a:solidFill>
              <a:latin typeface="ＭＳ Ｐゴシック"/>
              <a:ea typeface="ＭＳ Ｐゴシック"/>
            </a:rPr>
            <a:t>順序</a:t>
          </a:r>
          <a:r>
            <a:rPr lang="ja-JP" altLang="en-US" sz="1100" b="0" i="0" u="none" strike="noStrike" baseline="0">
              <a:solidFill>
                <a:srgbClr val="000000"/>
              </a:solidFill>
              <a:latin typeface="ＭＳ Ｐゴシック"/>
              <a:ea typeface="ＭＳ Ｐゴシック"/>
            </a:rPr>
            <a:t>   </a:t>
          </a:r>
          <a:r>
            <a:rPr lang="ja-JP" altLang="en-US" sz="1100" b="0" i="0" u="none" strike="noStrike" baseline="0">
              <a:solidFill>
                <a:srgbClr val="0000FF"/>
              </a:solidFill>
              <a:latin typeface="ＭＳ Ｐゴシック"/>
              <a:ea typeface="ＭＳ Ｐゴシック"/>
            </a:rPr>
            <a:t>数値 の順位を決めるため、範囲 内の数値を並べ替える方法を指定します。</a:t>
          </a:r>
          <a:r>
            <a:rPr lang="ja-JP" altLang="en-US" sz="1100" b="0" i="0" u="none" strike="noStrike" baseline="0">
              <a:solidFill>
                <a:srgbClr val="000000"/>
              </a:solidFill>
              <a:latin typeface="ＭＳ Ｐゴシック"/>
              <a:ea typeface="ＭＳ Ｐゴシック"/>
            </a:rPr>
            <a:t> </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順序 に </a:t>
          </a:r>
          <a:r>
            <a:rPr lang="en-US" altLang="ja-JP" sz="1100" b="1" i="0" u="none" strike="noStrike" baseline="0">
              <a:solidFill>
                <a:srgbClr val="FF00FF"/>
              </a:solidFill>
              <a:latin typeface="ＭＳ Ｐゴシック"/>
              <a:ea typeface="ＭＳ Ｐゴシック"/>
            </a:rPr>
            <a:t>0</a:t>
          </a:r>
          <a:r>
            <a:rPr lang="en-US" altLang="ja-JP" sz="1100" b="0" i="0" u="none" strike="noStrike" baseline="0">
              <a:solidFill>
                <a:srgbClr val="000000"/>
              </a:solidFill>
              <a:latin typeface="ＭＳ Ｐゴシック"/>
              <a:ea typeface="ＭＳ Ｐゴシック"/>
            </a:rPr>
            <a:t> </a:t>
          </a:r>
          <a:r>
            <a:rPr lang="ja-JP" altLang="en-US" sz="1100" b="0" i="0" u="none" strike="noStrike" baseline="0">
              <a:solidFill>
                <a:srgbClr val="000000"/>
              </a:solidFill>
              <a:latin typeface="ＭＳ Ｐゴシック"/>
              <a:ea typeface="ＭＳ Ｐゴシック"/>
            </a:rPr>
            <a:t>を指定するか、または </a:t>
          </a:r>
          <a:r>
            <a:rPr lang="ja-JP" altLang="en-US" sz="1100" b="0" i="0" u="none" strike="noStrike" baseline="0">
              <a:solidFill>
                <a:srgbClr val="FF00FF"/>
              </a:solidFill>
              <a:latin typeface="ＭＳ Ｐゴシック"/>
              <a:ea typeface="ＭＳ Ｐゴシック"/>
            </a:rPr>
            <a:t>順序 を省略する</a:t>
          </a:r>
          <a:r>
            <a:rPr lang="ja-JP" altLang="en-US" sz="1100" b="0" i="0" u="none" strike="noStrike" baseline="0">
              <a:solidFill>
                <a:srgbClr val="000000"/>
              </a:solidFill>
              <a:latin typeface="ＭＳ Ｐゴシック"/>
              <a:ea typeface="ＭＳ Ｐゴシック"/>
            </a:rPr>
            <a:t>と、範囲 内の数値が </a:t>
          </a:r>
          <a:r>
            <a:rPr lang="en-US" altLang="ja-JP" sz="1100" b="0" i="0" u="none" strike="noStrike" baseline="0">
              <a:solidFill>
                <a:srgbClr val="000000"/>
              </a:solidFill>
              <a:latin typeface="ＭＳ Ｐゴシック"/>
              <a:ea typeface="ＭＳ Ｐゴシック"/>
            </a:rPr>
            <a:t>...3</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2</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1 </a:t>
          </a:r>
          <a:r>
            <a:rPr lang="ja-JP" altLang="en-US" sz="1100" b="0" i="0" u="none" strike="noStrike" baseline="0">
              <a:solidFill>
                <a:srgbClr val="000000"/>
              </a:solidFill>
              <a:latin typeface="ＭＳ Ｐゴシック"/>
              <a:ea typeface="ＭＳ Ｐゴシック"/>
            </a:rPr>
            <a:t>のように</a:t>
          </a:r>
          <a:r>
            <a:rPr lang="ja-JP" altLang="en-US" sz="1100" b="0" i="0" u="none" strike="noStrike" baseline="0">
              <a:solidFill>
                <a:srgbClr val="FF0000"/>
              </a:solidFill>
              <a:latin typeface="ＭＳ Ｐゴシック"/>
              <a:ea typeface="ＭＳ Ｐゴシック"/>
            </a:rPr>
            <a:t>降順</a:t>
          </a:r>
          <a:r>
            <a:rPr lang="ja-JP" altLang="en-US" sz="1100" b="0" i="0" u="none" strike="noStrike" baseline="0">
              <a:solidFill>
                <a:srgbClr val="000000"/>
              </a:solidFill>
              <a:latin typeface="ＭＳ Ｐゴシック"/>
              <a:ea typeface="ＭＳ Ｐゴシック"/>
            </a:rPr>
            <a:t>に並べ替えられます。</a:t>
          </a:r>
        </a:p>
        <a:p>
          <a:pPr algn="l" rtl="0">
            <a:lnSpc>
              <a:spcPts val="1300"/>
            </a:lnSpc>
            <a:defRPr sz="1000"/>
          </a:pPr>
          <a:r>
            <a:rPr lang="ja-JP" altLang="en-US" sz="1100" b="0" i="0" u="none" strike="noStrike" baseline="0">
              <a:solidFill>
                <a:srgbClr val="000000"/>
              </a:solidFill>
              <a:latin typeface="ＭＳ Ｐゴシック"/>
              <a:ea typeface="ＭＳ Ｐゴシック"/>
            </a:rPr>
            <a:t>順序 に </a:t>
          </a:r>
          <a:r>
            <a:rPr lang="en-US" altLang="ja-JP" sz="1100" b="0" i="0" u="none" strike="noStrike" baseline="0">
              <a:solidFill>
                <a:srgbClr val="FF00FF"/>
              </a:solidFill>
              <a:latin typeface="ＭＳ Ｐゴシック"/>
              <a:ea typeface="ＭＳ Ｐゴシック"/>
            </a:rPr>
            <a:t>0 </a:t>
          </a:r>
          <a:r>
            <a:rPr lang="ja-JP" altLang="en-US" sz="1100" b="0" i="0" u="none" strike="noStrike" baseline="0">
              <a:solidFill>
                <a:srgbClr val="FF00FF"/>
              </a:solidFill>
              <a:latin typeface="ＭＳ Ｐゴシック"/>
              <a:ea typeface="ＭＳ Ｐゴシック"/>
            </a:rPr>
            <a:t>以外</a:t>
          </a:r>
          <a:r>
            <a:rPr lang="ja-JP" altLang="en-US" sz="1100" b="0" i="0" u="none" strike="noStrike" baseline="0">
              <a:solidFill>
                <a:srgbClr val="000000"/>
              </a:solidFill>
              <a:latin typeface="ＭＳ Ｐゴシック"/>
              <a:ea typeface="ＭＳ Ｐゴシック"/>
            </a:rPr>
            <a:t>の数値を指定すると、範囲 内の数値が </a:t>
          </a:r>
          <a:r>
            <a:rPr lang="en-US" altLang="ja-JP" sz="1100" b="0" i="0" u="none" strike="noStrike" baseline="0">
              <a:solidFill>
                <a:srgbClr val="000000"/>
              </a:solidFill>
              <a:latin typeface="ＭＳ Ｐゴシック"/>
              <a:ea typeface="ＭＳ Ｐゴシック"/>
            </a:rPr>
            <a:t>1</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2</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3</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ＭＳ Ｐゴシック"/>
              <a:ea typeface="ＭＳ Ｐゴシック"/>
            </a:rPr>
            <a:t>... </a:t>
          </a:r>
          <a:r>
            <a:rPr lang="ja-JP" altLang="en-US" sz="1100" b="0" i="0" u="none" strike="noStrike" baseline="0">
              <a:solidFill>
                <a:srgbClr val="000000"/>
              </a:solidFill>
              <a:latin typeface="ＭＳ Ｐゴシック"/>
              <a:ea typeface="ＭＳ Ｐゴシック"/>
            </a:rPr>
            <a:t>のように</a:t>
          </a:r>
          <a:r>
            <a:rPr lang="ja-JP" altLang="en-US" sz="1100" b="0" i="0" u="none" strike="noStrike" baseline="0">
              <a:solidFill>
                <a:srgbClr val="FF0000"/>
              </a:solidFill>
              <a:latin typeface="ＭＳ Ｐゴシック"/>
              <a:ea typeface="ＭＳ Ｐゴシック"/>
            </a:rPr>
            <a:t>昇順</a:t>
          </a:r>
          <a:r>
            <a:rPr lang="ja-JP" altLang="en-US" sz="1100" b="0" i="0" u="none" strike="noStrike" baseline="0">
              <a:solidFill>
                <a:srgbClr val="000000"/>
              </a:solidFill>
              <a:latin typeface="ＭＳ Ｐゴシック"/>
              <a:ea typeface="ＭＳ Ｐゴシック"/>
            </a:rPr>
            <a:t>で並べ替えられます。</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解説</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en-US" altLang="ja-JP" sz="1100" b="0" i="0" u="none" strike="noStrike" baseline="0">
              <a:solidFill>
                <a:srgbClr val="000000"/>
              </a:solidFill>
              <a:latin typeface="ＭＳ Ｐゴシック"/>
              <a:ea typeface="ＭＳ Ｐゴシック"/>
            </a:rPr>
            <a:t>RANK </a:t>
          </a:r>
          <a:r>
            <a:rPr lang="ja-JP" altLang="en-US" sz="1100" b="0" i="0" u="none" strike="noStrike" baseline="0">
              <a:solidFill>
                <a:srgbClr val="000000"/>
              </a:solidFill>
              <a:latin typeface="ＭＳ Ｐゴシック"/>
              <a:ea typeface="ＭＳ Ｐゴシック"/>
            </a:rPr>
            <a:t>関数では、重複した数値は同じ順位と見なされます。数値が重複していると、それ以降の数値の順位がずれていきます。たとえば、整数のリストがあり、そのリストに </a:t>
          </a:r>
          <a:r>
            <a:rPr lang="en-US" altLang="ja-JP" sz="1100" b="0" i="0" u="none" strike="noStrike" baseline="0">
              <a:solidFill>
                <a:srgbClr val="000000"/>
              </a:solidFill>
              <a:latin typeface="ＭＳ Ｐゴシック"/>
              <a:ea typeface="ＭＳ Ｐゴシック"/>
            </a:rPr>
            <a:t>10 </a:t>
          </a:r>
          <a:r>
            <a:rPr lang="ja-JP" altLang="en-US" sz="1100" b="0" i="0" u="none" strike="noStrike" baseline="0">
              <a:solidFill>
                <a:srgbClr val="000000"/>
              </a:solidFill>
              <a:latin typeface="ＭＳ Ｐゴシック"/>
              <a:ea typeface="ＭＳ Ｐゴシック"/>
            </a:rPr>
            <a:t>が </a:t>
          </a:r>
          <a:r>
            <a:rPr lang="en-US" altLang="ja-JP" sz="1100" b="0" i="0" u="none" strike="noStrike" baseline="0">
              <a:solidFill>
                <a:srgbClr val="000000"/>
              </a:solidFill>
              <a:latin typeface="ＭＳ Ｐゴシック"/>
              <a:ea typeface="ＭＳ Ｐゴシック"/>
            </a:rPr>
            <a:t>2 </a:t>
          </a:r>
          <a:r>
            <a:rPr lang="ja-JP" altLang="en-US" sz="1100" b="0" i="0" u="none" strike="noStrike" baseline="0">
              <a:solidFill>
                <a:srgbClr val="000000"/>
              </a:solidFill>
              <a:latin typeface="ＭＳ Ｐゴシック"/>
              <a:ea typeface="ＭＳ Ｐゴシック"/>
            </a:rPr>
            <a:t>度現れ、その順位が </a:t>
          </a:r>
          <a:r>
            <a:rPr lang="en-US" altLang="ja-JP" sz="1100" b="0" i="0" u="none" strike="noStrike" baseline="0">
              <a:solidFill>
                <a:srgbClr val="000000"/>
              </a:solidFill>
              <a:latin typeface="ＭＳ Ｐゴシック"/>
              <a:ea typeface="ＭＳ Ｐゴシック"/>
            </a:rPr>
            <a:t>5 </a:t>
          </a:r>
          <a:r>
            <a:rPr lang="ja-JP" altLang="en-US" sz="1100" b="0" i="0" u="none" strike="noStrike" baseline="0">
              <a:solidFill>
                <a:srgbClr val="000000"/>
              </a:solidFill>
              <a:latin typeface="ＭＳ Ｐゴシック"/>
              <a:ea typeface="ＭＳ Ｐゴシック"/>
            </a:rPr>
            <a:t>であるとき、</a:t>
          </a:r>
          <a:r>
            <a:rPr lang="en-US" altLang="ja-JP" sz="1100" b="0" i="0" u="none" strike="noStrike" baseline="0">
              <a:solidFill>
                <a:srgbClr val="000000"/>
              </a:solidFill>
              <a:latin typeface="ＭＳ Ｐゴシック"/>
              <a:ea typeface="ＭＳ Ｐゴシック"/>
            </a:rPr>
            <a:t>11 </a:t>
          </a:r>
          <a:r>
            <a:rPr lang="ja-JP" altLang="en-US" sz="1100" b="0" i="0" u="none" strike="noStrike" baseline="0">
              <a:solidFill>
                <a:srgbClr val="000000"/>
              </a:solidFill>
              <a:latin typeface="ＭＳ Ｐゴシック"/>
              <a:ea typeface="ＭＳ Ｐゴシック"/>
            </a:rPr>
            <a:t>の順位は </a:t>
          </a:r>
          <a:r>
            <a:rPr lang="en-US" altLang="ja-JP" sz="1100" b="0" i="0" u="none" strike="noStrike" baseline="0">
              <a:solidFill>
                <a:srgbClr val="000000"/>
              </a:solidFill>
              <a:latin typeface="ＭＳ Ｐゴシック"/>
              <a:ea typeface="ＭＳ Ｐゴシック"/>
            </a:rPr>
            <a:t>7 </a:t>
          </a:r>
          <a:r>
            <a:rPr lang="ja-JP" altLang="en-US" sz="1100" b="0" i="0" u="none" strike="noStrike" baseline="0">
              <a:solidFill>
                <a:srgbClr val="000000"/>
              </a:solidFill>
              <a:latin typeface="ＭＳ Ｐゴシック"/>
              <a:ea typeface="ＭＳ Ｐゴシック"/>
            </a:rPr>
            <a:t>となります </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順位が </a:t>
          </a:r>
          <a:r>
            <a:rPr lang="en-US" altLang="ja-JP" sz="1100" b="0" i="0" u="none" strike="noStrike" baseline="0">
              <a:solidFill>
                <a:srgbClr val="000000"/>
              </a:solidFill>
              <a:latin typeface="ＭＳ Ｐゴシック"/>
              <a:ea typeface="ＭＳ Ｐゴシック"/>
            </a:rPr>
            <a:t>6 </a:t>
          </a:r>
          <a:r>
            <a:rPr lang="ja-JP" altLang="en-US" sz="1100" b="0" i="0" u="none" strike="noStrike" baseline="0">
              <a:solidFill>
                <a:srgbClr val="000000"/>
              </a:solidFill>
              <a:latin typeface="ＭＳ Ｐゴシック"/>
              <a:ea typeface="ＭＳ Ｐゴシック"/>
            </a:rPr>
            <a:t>の数値はありません</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8</xdr:col>
      <xdr:colOff>104775</xdr:colOff>
      <xdr:row>3</xdr:row>
      <xdr:rowOff>161925</xdr:rowOff>
    </xdr:from>
    <xdr:to>
      <xdr:col>13</xdr:col>
      <xdr:colOff>104775</xdr:colOff>
      <xdr:row>11</xdr:row>
      <xdr:rowOff>28575</xdr:rowOff>
    </xdr:to>
    <xdr:grpSp>
      <xdr:nvGrpSpPr>
        <xdr:cNvPr id="11273" name="Group 9"/>
        <xdr:cNvGrpSpPr>
          <a:grpSpLocks/>
        </xdr:cNvGrpSpPr>
      </xdr:nvGrpSpPr>
      <xdr:grpSpPr bwMode="auto">
        <a:xfrm>
          <a:off x="5271135" y="664845"/>
          <a:ext cx="3048000" cy="1390650"/>
          <a:chOff x="618" y="71"/>
          <a:chExt cx="360" cy="151"/>
        </a:xfrm>
      </xdr:grpSpPr>
      <xdr:sp macro="" textlink="">
        <xdr:nvSpPr>
          <xdr:cNvPr id="11269" name="AutoShape 5"/>
          <xdr:cNvSpPr>
            <a:spLocks noChangeArrowheads="1"/>
          </xdr:cNvSpPr>
        </xdr:nvSpPr>
        <xdr:spPr bwMode="auto">
          <a:xfrm>
            <a:off x="618" y="71"/>
            <a:ext cx="360" cy="151"/>
          </a:xfrm>
          <a:prstGeom prst="roundRect">
            <a:avLst>
              <a:gd name="adj" fmla="val 993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808080" mc:Ignorable="a14" a14:legacySpreadsheetColorIndex="23"/>
            </a:solidFill>
            <a:round/>
            <a:headEnd/>
            <a:tailEnd/>
          </a:ln>
          <a:effectLst>
            <a:outerShdw dist="35921" dir="2700000" algn="ctr" rotWithShape="0">
              <a:srgbClr val="808080"/>
            </a:outerShdw>
          </a:effec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＜問＞順位をつけなさい。</a:t>
            </a:r>
          </a:p>
          <a:p>
            <a:pPr algn="l" rtl="0">
              <a:lnSpc>
                <a:spcPts val="1300"/>
              </a:lnSpc>
              <a:defRPr sz="1000"/>
            </a:pPr>
            <a:r>
              <a:rPr lang="ja-JP" altLang="en-US" sz="1100" b="0" i="0" u="none" strike="noStrike" baseline="0">
                <a:solidFill>
                  <a:srgbClr val="000000"/>
                </a:solidFill>
                <a:latin typeface="ＭＳ Ｐゴシック"/>
                <a:ea typeface="ＭＳ Ｐゴシック"/>
              </a:rPr>
              <a:t>合否は、</a:t>
            </a:r>
            <a:r>
              <a:rPr lang="ja-JP" altLang="en-US" sz="1100" b="0" i="0" u="none" strike="noStrike" baseline="0">
                <a:solidFill>
                  <a:srgbClr val="FF0000"/>
                </a:solidFill>
                <a:latin typeface="ＭＳ Ｐゴシック"/>
                <a:ea typeface="ＭＳ Ｐゴシック"/>
              </a:rPr>
              <a:t>６０点以上</a:t>
            </a:r>
            <a:r>
              <a:rPr lang="ja-JP" altLang="en-US" sz="1100" b="0" i="0" u="none" strike="noStrike" baseline="0">
                <a:solidFill>
                  <a:srgbClr val="000000"/>
                </a:solidFill>
                <a:latin typeface="ＭＳ Ｐゴシック"/>
                <a:ea typeface="ＭＳ Ｐゴシック"/>
              </a:rPr>
              <a:t>を　</a:t>
            </a:r>
            <a:r>
              <a:rPr lang="ja-JP" altLang="en-US" sz="1100" b="0" i="0" u="none" strike="noStrike" baseline="0">
                <a:solidFill>
                  <a:srgbClr val="0000FF"/>
                </a:solidFill>
                <a:latin typeface="ＭＳ Ｐゴシック"/>
                <a:ea typeface="ＭＳ Ｐゴシック"/>
              </a:rPr>
              <a:t>合</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ja-JP" altLang="en-US" sz="1100" b="0" i="0" u="none" strike="noStrike" baseline="0">
                <a:solidFill>
                  <a:srgbClr val="FF0000"/>
                </a:solidFill>
                <a:latin typeface="ＭＳ Ｐゴシック"/>
                <a:ea typeface="ＭＳ Ｐゴシック"/>
              </a:rPr>
              <a:t>未満</a:t>
            </a:r>
            <a:r>
              <a:rPr lang="ja-JP" altLang="en-US" sz="1100" b="0" i="0" u="none" strike="noStrike" baseline="0">
                <a:solidFill>
                  <a:srgbClr val="000000"/>
                </a:solidFill>
                <a:latin typeface="ＭＳ Ｐゴシック"/>
                <a:ea typeface="ＭＳ Ｐゴシック"/>
              </a:rPr>
              <a:t>を　　　　</a:t>
            </a:r>
            <a:r>
              <a:rPr lang="ja-JP" altLang="en-US" sz="1100" b="0" i="0" u="none" strike="noStrike" baseline="0">
                <a:solidFill>
                  <a:srgbClr val="0000FF"/>
                </a:solidFill>
                <a:latin typeface="ＭＳ Ｐゴシック"/>
                <a:ea typeface="ＭＳ Ｐゴシック"/>
              </a:rPr>
              <a:t>否</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と表示して下さい。</a:t>
            </a:r>
          </a:p>
          <a:p>
            <a:pPr algn="l" rtl="0">
              <a:defRPr sz="1000"/>
            </a:pPr>
            <a:r>
              <a:rPr lang="ja-JP" altLang="en-US" sz="1100" b="0" i="0" u="none" strike="noStrike" baseline="0">
                <a:solidFill>
                  <a:srgbClr val="000000"/>
                </a:solidFill>
                <a:latin typeface="ＭＳ Ｐゴシック"/>
                <a:ea typeface="ＭＳ Ｐゴシック"/>
              </a:rPr>
              <a:t>（注：</a:t>
            </a:r>
            <a:r>
              <a:rPr lang="ja-JP" altLang="en-US" sz="1100" b="0" i="0" u="sng" strike="noStrike" baseline="0">
                <a:solidFill>
                  <a:srgbClr val="000000"/>
                </a:solidFill>
                <a:latin typeface="ＭＳ Ｐゴシック"/>
                <a:ea typeface="ＭＳ Ｐゴシック"/>
              </a:rPr>
              <a:t>罫線はコピーしないように！</a:t>
            </a:r>
            <a:r>
              <a:rPr lang="ja-JP" altLang="en-US" sz="1100" b="0" i="0" u="none" strike="noStrike" baseline="0">
                <a:solidFill>
                  <a:srgbClr val="000000"/>
                </a:solidFill>
                <a:latin typeface="ＭＳ Ｐゴシック"/>
                <a:ea typeface="ＭＳ Ｐゴシック"/>
              </a:rPr>
              <a:t>）</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順位をつける関数は　</a:t>
            </a:r>
            <a:r>
              <a:rPr lang="en-US" altLang="ja-JP" sz="1100" b="0" i="0" u="none" strike="noStrike" baseline="0">
                <a:solidFill>
                  <a:srgbClr val="FF0000"/>
                </a:solidFill>
                <a:latin typeface="ＭＳ Ｐゴシック"/>
                <a:ea typeface="ＭＳ Ｐゴシック"/>
              </a:rPr>
              <a:t>RANK</a:t>
            </a:r>
            <a:r>
              <a:rPr lang="ja-JP" altLang="en-US" sz="1100" b="0" i="0" u="none" strike="noStrike" baseline="0">
                <a:solidFill>
                  <a:srgbClr val="000000"/>
                </a:solidFill>
                <a:latin typeface="ＭＳ Ｐゴシック"/>
                <a:ea typeface="ＭＳ Ｐゴシック"/>
              </a:rPr>
              <a:t>　です。</a:t>
            </a:r>
          </a:p>
        </xdr:txBody>
      </xdr:sp>
      <xdr:sp macro="" textlink="">
        <xdr:nvSpPr>
          <xdr:cNvPr id="11272" name="AutoShape 8">
            <a:hlinkClick xmlns:r="http://schemas.openxmlformats.org/officeDocument/2006/relationships" r:id="rId1"/>
          </xdr:cNvPr>
          <xdr:cNvSpPr>
            <a:spLocks noChangeArrowheads="1"/>
          </xdr:cNvSpPr>
        </xdr:nvSpPr>
        <xdr:spPr bwMode="auto">
          <a:xfrm>
            <a:off x="880" y="176"/>
            <a:ext cx="57" cy="32"/>
          </a:xfrm>
          <a:prstGeom prst="bevel">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sng" strike="noStrike" baseline="0">
                <a:solidFill>
                  <a:srgbClr val="0000FF"/>
                </a:solidFill>
                <a:latin typeface="ＭＳ Ｐゴシック"/>
                <a:ea typeface="ＭＳ Ｐゴシック"/>
              </a:rPr>
              <a:t>次へ</a:t>
            </a:r>
          </a:p>
        </xdr:txBody>
      </xdr:sp>
    </xdr:grpSp>
    <xdr:clientData/>
  </xdr:twoCellAnchor>
  <xdr:twoCellAnchor>
    <xdr:from>
      <xdr:col>3</xdr:col>
      <xdr:colOff>66675</xdr:colOff>
      <xdr:row>47</xdr:row>
      <xdr:rowOff>38100</xdr:rowOff>
    </xdr:from>
    <xdr:to>
      <xdr:col>5</xdr:col>
      <xdr:colOff>485775</xdr:colOff>
      <xdr:row>49</xdr:row>
      <xdr:rowOff>0</xdr:rowOff>
    </xdr:to>
    <xdr:sp macro="" textlink="">
      <xdr:nvSpPr>
        <xdr:cNvPr id="11274" name="AutoShape 10"/>
        <xdr:cNvSpPr>
          <a:spLocks noChangeArrowheads="1"/>
        </xdr:cNvSpPr>
      </xdr:nvSpPr>
      <xdr:spPr bwMode="auto">
        <a:xfrm>
          <a:off x="2209800" y="8315325"/>
          <a:ext cx="1790700" cy="304800"/>
        </a:xfrm>
        <a:prstGeom prst="wedgeRectCallout">
          <a:avLst>
            <a:gd name="adj1" fmla="val 38829"/>
            <a:gd name="adj2" fmla="val 20312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ゴシック"/>
              <a:ea typeface="ＭＳ ゴシック"/>
            </a:rPr>
            <a:t>=</a:t>
          </a:r>
          <a:r>
            <a:rPr lang="en-US" altLang="ja-JP" sz="1100" b="0" i="0" u="none" strike="noStrike" baseline="0">
              <a:solidFill>
                <a:srgbClr val="FF0000"/>
              </a:solidFill>
              <a:latin typeface="ＭＳ ゴシック"/>
              <a:ea typeface="ＭＳ ゴシック"/>
            </a:rPr>
            <a:t>RANK</a:t>
          </a:r>
          <a:r>
            <a:rPr lang="en-US" altLang="ja-JP" sz="1100" b="0" i="0" u="none" strike="noStrike" baseline="0">
              <a:solidFill>
                <a:srgbClr val="000000"/>
              </a:solidFill>
              <a:latin typeface="ＭＳ ゴシック"/>
              <a:ea typeface="ＭＳ ゴシック"/>
            </a:rPr>
            <a:t>(E52,$E$52:$E$65)</a:t>
          </a:r>
        </a:p>
      </xdr:txBody>
    </xdr:sp>
    <xdr:clientData/>
  </xdr:twoCellAnchor>
  <xdr:twoCellAnchor>
    <xdr:from>
      <xdr:col>5</xdr:col>
      <xdr:colOff>619125</xdr:colOff>
      <xdr:row>47</xdr:row>
      <xdr:rowOff>38100</xdr:rowOff>
    </xdr:from>
    <xdr:to>
      <xdr:col>8</xdr:col>
      <xdr:colOff>190500</xdr:colOff>
      <xdr:row>49</xdr:row>
      <xdr:rowOff>0</xdr:rowOff>
    </xdr:to>
    <xdr:sp macro="" textlink="">
      <xdr:nvSpPr>
        <xdr:cNvPr id="11275" name="AutoShape 11"/>
        <xdr:cNvSpPr>
          <a:spLocks noChangeArrowheads="1"/>
        </xdr:cNvSpPr>
      </xdr:nvSpPr>
      <xdr:spPr bwMode="auto">
        <a:xfrm>
          <a:off x="4133850" y="8315325"/>
          <a:ext cx="1838325" cy="304800"/>
        </a:xfrm>
        <a:prstGeom prst="wedgeRectCallout">
          <a:avLst>
            <a:gd name="adj1" fmla="val -33421"/>
            <a:gd name="adj2" fmla="val 20625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ゴシック"/>
              <a:ea typeface="ＭＳ ゴシック"/>
            </a:rPr>
            <a:t>=</a:t>
          </a:r>
          <a:r>
            <a:rPr lang="en-US" altLang="ja-JP" sz="1100" b="0" i="0" u="none" strike="noStrike" baseline="0">
              <a:solidFill>
                <a:srgbClr val="FF0000"/>
              </a:solidFill>
              <a:latin typeface="ＭＳ ゴシック"/>
              <a:ea typeface="ＭＳ ゴシック"/>
            </a:rPr>
            <a:t>IF</a:t>
          </a:r>
          <a:r>
            <a:rPr lang="en-US" altLang="ja-JP" sz="1100" b="0" i="0" u="none" strike="noStrike" baseline="0">
              <a:solidFill>
                <a:srgbClr val="000000"/>
              </a:solidFill>
              <a:latin typeface="ＭＳ ゴシック"/>
              <a:ea typeface="ＭＳ ゴシック"/>
            </a:rPr>
            <a:t>(C52&gt;=60,"</a:t>
          </a:r>
          <a:r>
            <a:rPr lang="ja-JP" altLang="en-US" sz="1100" b="0" i="0" u="none" strike="noStrike" baseline="0">
              <a:solidFill>
                <a:srgbClr val="000000"/>
              </a:solidFill>
              <a:latin typeface="ＭＳ ゴシック"/>
              <a:ea typeface="ＭＳ ゴシック"/>
            </a:rPr>
            <a:t>合</a:t>
          </a:r>
          <a:r>
            <a:rPr lang="en-US" altLang="ja-JP" sz="1100" b="0" i="0" u="none" strike="noStrike" baseline="0">
              <a:solidFill>
                <a:srgbClr val="000000"/>
              </a:solidFill>
              <a:latin typeface="ＭＳ ゴシック"/>
              <a:ea typeface="ＭＳ ゴシック"/>
            </a:rPr>
            <a:t>","</a:t>
          </a:r>
          <a:r>
            <a:rPr lang="ja-JP" altLang="en-US" sz="1100" b="0" i="0" u="none" strike="noStrike" baseline="0">
              <a:solidFill>
                <a:srgbClr val="000000"/>
              </a:solidFill>
              <a:latin typeface="ＭＳ ゴシック"/>
              <a:ea typeface="ＭＳ ゴシック"/>
            </a:rPr>
            <a:t>否</a:t>
          </a:r>
          <a:r>
            <a:rPr lang="en-US" altLang="ja-JP" sz="1100" b="0" i="0" u="none" strike="noStrike" baseline="0">
              <a:solidFill>
                <a:srgbClr val="000000"/>
              </a:solidFill>
              <a:latin typeface="ＭＳ ゴシック"/>
              <a:ea typeface="ＭＳ ゴシック"/>
            </a:rPr>
            <a:t>")</a:t>
          </a:r>
        </a:p>
      </xdr:txBody>
    </xdr:sp>
    <xdr:clientData/>
  </xdr:twoCellAnchor>
  <xdr:twoCellAnchor>
    <xdr:from>
      <xdr:col>8</xdr:col>
      <xdr:colOff>219075</xdr:colOff>
      <xdr:row>47</xdr:row>
      <xdr:rowOff>38100</xdr:rowOff>
    </xdr:from>
    <xdr:to>
      <xdr:col>11</xdr:col>
      <xdr:colOff>0</xdr:colOff>
      <xdr:row>49</xdr:row>
      <xdr:rowOff>0</xdr:rowOff>
    </xdr:to>
    <xdr:sp macro="" textlink="">
      <xdr:nvSpPr>
        <xdr:cNvPr id="11276" name="AutoShape 12"/>
        <xdr:cNvSpPr>
          <a:spLocks noChangeArrowheads="1"/>
        </xdr:cNvSpPr>
      </xdr:nvSpPr>
      <xdr:spPr bwMode="auto">
        <a:xfrm>
          <a:off x="6000750" y="8315325"/>
          <a:ext cx="1838325" cy="304800"/>
        </a:xfrm>
        <a:prstGeom prst="wedgeRectCallout">
          <a:avLst>
            <a:gd name="adj1" fmla="val -73315"/>
            <a:gd name="adj2" fmla="val 22187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ゴシック"/>
              <a:ea typeface="ＭＳ ゴシック"/>
            </a:rPr>
            <a:t>=</a:t>
          </a:r>
          <a:r>
            <a:rPr lang="en-US" altLang="ja-JP" sz="1100" b="0" i="0" u="none" strike="noStrike" baseline="0">
              <a:solidFill>
                <a:srgbClr val="FF0000"/>
              </a:solidFill>
              <a:latin typeface="ＭＳ ゴシック"/>
              <a:ea typeface="ＭＳ ゴシック"/>
            </a:rPr>
            <a:t>IF</a:t>
          </a:r>
          <a:r>
            <a:rPr lang="en-US" altLang="ja-JP" sz="1100" b="0" i="0" u="none" strike="noStrike" baseline="0">
              <a:solidFill>
                <a:srgbClr val="000000"/>
              </a:solidFill>
              <a:latin typeface="ＭＳ ゴシック"/>
              <a:ea typeface="ＭＳ ゴシック"/>
            </a:rPr>
            <a:t>(D52&gt;=60,"</a:t>
          </a:r>
          <a:r>
            <a:rPr lang="ja-JP" altLang="en-US" sz="1100" b="0" i="0" u="none" strike="noStrike" baseline="0">
              <a:solidFill>
                <a:srgbClr val="000000"/>
              </a:solidFill>
              <a:latin typeface="ＭＳ ゴシック"/>
              <a:ea typeface="ＭＳ ゴシック"/>
            </a:rPr>
            <a:t>合</a:t>
          </a:r>
          <a:r>
            <a:rPr lang="en-US" altLang="ja-JP" sz="1100" b="0" i="0" u="none" strike="noStrike" baseline="0">
              <a:solidFill>
                <a:srgbClr val="000000"/>
              </a:solidFill>
              <a:latin typeface="ＭＳ ゴシック"/>
              <a:ea typeface="ＭＳ ゴシック"/>
            </a:rPr>
            <a:t>","</a:t>
          </a:r>
          <a:r>
            <a:rPr lang="ja-JP" altLang="en-US" sz="1100" b="0" i="0" u="none" strike="noStrike" baseline="0">
              <a:solidFill>
                <a:srgbClr val="000000"/>
              </a:solidFill>
              <a:latin typeface="ＭＳ ゴシック"/>
              <a:ea typeface="ＭＳ ゴシック"/>
            </a:rPr>
            <a:t>否</a:t>
          </a:r>
          <a:r>
            <a:rPr lang="en-US" altLang="ja-JP" sz="1100" b="0" i="0" u="none" strike="noStrike" baseline="0">
              <a:solidFill>
                <a:srgbClr val="000000"/>
              </a:solidFill>
              <a:latin typeface="ＭＳ ゴシック"/>
              <a:ea typeface="ＭＳ ゴシック"/>
            </a:rPr>
            <a: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62</xdr:row>
      <xdr:rowOff>95250</xdr:rowOff>
    </xdr:from>
    <xdr:to>
      <xdr:col>4</xdr:col>
      <xdr:colOff>228600</xdr:colOff>
      <xdr:row>65</xdr:row>
      <xdr:rowOff>38100</xdr:rowOff>
    </xdr:to>
    <xdr:sp macro="" textlink="">
      <xdr:nvSpPr>
        <xdr:cNvPr id="12292" name="WordArt 4"/>
        <xdr:cNvSpPr>
          <a:spLocks noChangeArrowheads="1" noChangeShapeType="1" noTextEdit="1"/>
        </xdr:cNvSpPr>
      </xdr:nvSpPr>
      <xdr:spPr bwMode="auto">
        <a:xfrm>
          <a:off x="0" y="12792075"/>
          <a:ext cx="2971800" cy="4572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val="FFFFFF"/>
              </a:solidFill>
              <a:effectLst/>
              <a:latin typeface="ＭＳ Ｐゴシック"/>
              <a:ea typeface="ＭＳ Ｐゴシック"/>
            </a:rPr>
            <a:t>補足：計算誤差</a:t>
          </a:r>
        </a:p>
      </xdr:txBody>
    </xdr:sp>
    <xdr:clientData/>
  </xdr:twoCellAnchor>
  <xdr:twoCellAnchor>
    <xdr:from>
      <xdr:col>0</xdr:col>
      <xdr:colOff>0</xdr:colOff>
      <xdr:row>66</xdr:row>
      <xdr:rowOff>0</xdr:rowOff>
    </xdr:from>
    <xdr:to>
      <xdr:col>9</xdr:col>
      <xdr:colOff>0</xdr:colOff>
      <xdr:row>72</xdr:row>
      <xdr:rowOff>0</xdr:rowOff>
    </xdr:to>
    <xdr:sp macro="" textlink="">
      <xdr:nvSpPr>
        <xdr:cNvPr id="12293" name="Text Box 5"/>
        <xdr:cNvSpPr txBox="1">
          <a:spLocks noChangeArrowheads="1"/>
        </xdr:cNvSpPr>
      </xdr:nvSpPr>
      <xdr:spPr bwMode="auto">
        <a:xfrm>
          <a:off x="0" y="13382625"/>
          <a:ext cx="6172200"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969696" mc:Ignorable="a14" a14:legacySpreadsheetColorIndex="55"/>
          </a:solidFill>
          <a:miter lim="800000"/>
          <a:headEnd/>
          <a:tailEnd/>
        </a:ln>
        <a:effectLst>
          <a:outerShdw dist="35921" dir="2700000" algn="ctr" rotWithShape="0">
            <a:srgbClr val="808080"/>
          </a:outerShdw>
        </a:effectLst>
      </xdr:spPr>
      <xdr:txBody>
        <a:bodyPr vertOverflow="clip" wrap="square" lIns="90000" tIns="72000" rIns="90000" bIns="46800" anchor="t" upright="1"/>
        <a:lstStyle/>
        <a:p>
          <a:pPr algn="l" rtl="0">
            <a:defRPr sz="1000"/>
          </a:pPr>
          <a:r>
            <a:rPr lang="ja-JP" altLang="en-US" sz="1100" b="0" i="0" u="none" strike="noStrike" baseline="0">
              <a:solidFill>
                <a:srgbClr val="000000"/>
              </a:solidFill>
              <a:latin typeface="ＭＳ Ｐゴシック"/>
              <a:ea typeface="ＭＳ Ｐゴシック"/>
            </a:rPr>
            <a:t>順位で並べ替えてみます。</a:t>
          </a:r>
        </a:p>
        <a:p>
          <a:pPr algn="l" rtl="0">
            <a:lnSpc>
              <a:spcPts val="1300"/>
            </a:lnSpc>
            <a:defRPr sz="1000"/>
          </a:pPr>
          <a:r>
            <a:rPr lang="ja-JP" altLang="en-US" sz="1100" b="0" i="0" u="none" strike="noStrike" baseline="0">
              <a:solidFill>
                <a:srgbClr val="000000"/>
              </a:solidFill>
              <a:latin typeface="ＭＳ Ｐゴシック"/>
              <a:ea typeface="ＭＳ Ｐゴシック"/>
            </a:rPr>
            <a:t>注意してみて見ると、</a:t>
          </a:r>
          <a:r>
            <a:rPr lang="en-US" altLang="ja-JP" sz="1100" b="0" i="0" u="none" strike="noStrike" baseline="0">
              <a:solidFill>
                <a:srgbClr val="000000"/>
              </a:solidFill>
              <a:latin typeface="ＭＳ Ｐゴシック"/>
              <a:ea typeface="ＭＳ Ｐゴシック"/>
            </a:rPr>
            <a:t>7</a:t>
          </a:r>
          <a:r>
            <a:rPr lang="ja-JP" altLang="en-US" sz="1100" b="0" i="0" u="none" strike="noStrike" baseline="0">
              <a:solidFill>
                <a:srgbClr val="000000"/>
              </a:solidFill>
              <a:latin typeface="ＭＳ Ｐゴシック"/>
              <a:ea typeface="ＭＳ Ｐゴシック"/>
            </a:rPr>
            <a:t>位と</a:t>
          </a:r>
          <a:r>
            <a:rPr lang="en-US" altLang="ja-JP" sz="1100" b="0" i="0" u="none" strike="noStrike" baseline="0">
              <a:solidFill>
                <a:srgbClr val="000000"/>
              </a:solidFill>
              <a:latin typeface="ＭＳ Ｐゴシック"/>
              <a:ea typeface="ＭＳ Ｐゴシック"/>
            </a:rPr>
            <a:t>8</a:t>
          </a:r>
          <a:r>
            <a:rPr lang="ja-JP" altLang="en-US" sz="1100" b="0" i="0" u="none" strike="noStrike" baseline="0">
              <a:solidFill>
                <a:srgbClr val="000000"/>
              </a:solidFill>
              <a:latin typeface="ＭＳ Ｐゴシック"/>
              <a:ea typeface="ＭＳ Ｐゴシック"/>
            </a:rPr>
            <a:t>位は</a:t>
          </a:r>
          <a:r>
            <a:rPr lang="ja-JP" altLang="en-US" sz="1100" b="0" i="0" u="none" strike="noStrike" baseline="0">
              <a:solidFill>
                <a:srgbClr val="FF0000"/>
              </a:solidFill>
              <a:latin typeface="ＭＳ Ｐゴシック"/>
              <a:ea typeface="ＭＳ Ｐゴシック"/>
            </a:rPr>
            <a:t>点数が同じなのに順位が異なっています</a:t>
          </a:r>
          <a:r>
            <a:rPr lang="ja-JP" altLang="en-US" sz="1100" b="0" i="0" u="none" strike="noStrike" baseline="0">
              <a:solidFill>
                <a:srgbClr val="000000"/>
              </a:solidFill>
              <a:latin typeface="ＭＳ Ｐゴシック"/>
              <a:ea typeface="ＭＳ Ｐゴシック"/>
            </a:rPr>
            <a:t>。</a:t>
          </a:r>
        </a:p>
        <a:p>
          <a:pPr algn="l" rtl="0">
            <a:defRPr sz="1000"/>
          </a:pPr>
          <a:r>
            <a:rPr lang="ja-JP" altLang="en-US" sz="1100" b="0" i="0" u="none" strike="noStrike" baseline="0">
              <a:solidFill>
                <a:srgbClr val="000000"/>
              </a:solidFill>
              <a:latin typeface="ＭＳ Ｐゴシック"/>
              <a:ea typeface="ＭＳ Ｐゴシック"/>
            </a:rPr>
            <a:t>これは、コンピュータが内部的には</a:t>
          </a:r>
          <a:r>
            <a:rPr lang="en-US" altLang="ja-JP" sz="1100" b="0" i="0" u="none" strike="noStrike" baseline="0">
              <a:solidFill>
                <a:srgbClr val="000000"/>
              </a:solidFill>
              <a:latin typeface="ＭＳ Ｐゴシック"/>
              <a:ea typeface="ＭＳ Ｐゴシック"/>
            </a:rPr>
            <a:t>2</a:t>
          </a:r>
          <a:r>
            <a:rPr lang="ja-JP" altLang="en-US" sz="1100" b="0" i="0" u="none" strike="noStrike" baseline="0">
              <a:solidFill>
                <a:srgbClr val="000000"/>
              </a:solidFill>
              <a:latin typeface="ＭＳ Ｐゴシック"/>
              <a:ea typeface="ＭＳ Ｐゴシック"/>
            </a:rPr>
            <a:t>進数で計算しているため、</a:t>
          </a:r>
          <a:r>
            <a:rPr lang="en-US" altLang="ja-JP" sz="1100" b="0" i="0" u="none" strike="noStrike" baseline="0">
              <a:solidFill>
                <a:srgbClr val="000000"/>
              </a:solidFill>
              <a:latin typeface="ＭＳ Ｐゴシック"/>
              <a:ea typeface="ＭＳ Ｐゴシック"/>
            </a:rPr>
            <a:t>10</a:t>
          </a:r>
          <a:r>
            <a:rPr lang="ja-JP" altLang="en-US" sz="1100" b="0" i="0" u="none" strike="noStrike" baseline="0">
              <a:solidFill>
                <a:srgbClr val="000000"/>
              </a:solidFill>
              <a:latin typeface="ＭＳ Ｐゴシック"/>
              <a:ea typeface="ＭＳ Ｐゴシック"/>
            </a:rPr>
            <a:t>進数を</a:t>
          </a:r>
          <a:r>
            <a:rPr lang="en-US" altLang="ja-JP" sz="1100" b="0" i="0" u="none" strike="noStrike" baseline="0">
              <a:solidFill>
                <a:srgbClr val="000000"/>
              </a:solidFill>
              <a:latin typeface="ＭＳ Ｐゴシック"/>
              <a:ea typeface="ＭＳ Ｐゴシック"/>
            </a:rPr>
            <a:t>2</a:t>
          </a:r>
          <a:r>
            <a:rPr lang="ja-JP" altLang="en-US" sz="1100" b="0" i="0" u="none" strike="noStrike" baseline="0">
              <a:solidFill>
                <a:srgbClr val="000000"/>
              </a:solidFill>
              <a:latin typeface="ＭＳ Ｐゴシック"/>
              <a:ea typeface="ＭＳ Ｐゴシック"/>
            </a:rPr>
            <a:t>進数に変換するとき</a:t>
          </a:r>
          <a:r>
            <a:rPr lang="ja-JP" altLang="en-US" sz="1100" b="0" i="0" u="none" strike="noStrike" baseline="0">
              <a:solidFill>
                <a:srgbClr val="0000FF"/>
              </a:solidFill>
              <a:latin typeface="ＭＳ Ｐゴシック"/>
              <a:ea typeface="ＭＳ Ｐゴシック"/>
            </a:rPr>
            <a:t>循環小数</a:t>
          </a:r>
          <a:r>
            <a:rPr lang="ja-JP" altLang="en-US" sz="1100" b="0" i="0" u="none" strike="noStrike" baseline="0">
              <a:solidFill>
                <a:srgbClr val="000000"/>
              </a:solidFill>
              <a:latin typeface="ＭＳ Ｐゴシック"/>
              <a:ea typeface="ＭＳ Ｐゴシック"/>
            </a:rPr>
            <a:t>（割り切れない）になるためです。</a:t>
          </a:r>
        </a:p>
        <a:p>
          <a:pPr algn="l" rtl="0">
            <a:lnSpc>
              <a:spcPts val="1200"/>
            </a:lnSpc>
            <a:defRPr sz="1000"/>
          </a:pPr>
          <a:r>
            <a:rPr lang="ja-JP" altLang="en-US" sz="1100" b="0" i="0" u="none" strike="noStrike" baseline="0">
              <a:solidFill>
                <a:srgbClr val="000000"/>
              </a:solidFill>
              <a:latin typeface="ＭＳ Ｐゴシック"/>
              <a:ea typeface="ＭＳ Ｐゴシック"/>
            </a:rPr>
            <a:t>これを</a:t>
          </a:r>
          <a:r>
            <a:rPr lang="ja-JP" altLang="en-US" sz="1100" b="0" i="0" u="none" strike="noStrike" baseline="0">
              <a:solidFill>
                <a:srgbClr val="FF0000"/>
              </a:solidFill>
              <a:latin typeface="ＭＳ Ｐゴシック"/>
              <a:ea typeface="ＭＳ Ｐゴシック"/>
            </a:rPr>
            <a:t>計算誤差</a:t>
          </a:r>
          <a:r>
            <a:rPr lang="ja-JP" altLang="en-US" sz="1100" b="0" i="0" u="none" strike="noStrike" baseline="0">
              <a:solidFill>
                <a:srgbClr val="000000"/>
              </a:solidFill>
              <a:latin typeface="ＭＳ Ｐゴシック"/>
              <a:ea typeface="ＭＳ Ｐゴシック"/>
            </a:rPr>
            <a:t>といいます。</a:t>
          </a:r>
        </a:p>
      </xdr:txBody>
    </xdr:sp>
    <xdr:clientData/>
  </xdr:twoCellAnchor>
  <xdr:twoCellAnchor>
    <xdr:from>
      <xdr:col>9</xdr:col>
      <xdr:colOff>133350</xdr:colOff>
      <xdr:row>72</xdr:row>
      <xdr:rowOff>104775</xdr:rowOff>
    </xdr:from>
    <xdr:to>
      <xdr:col>11</xdr:col>
      <xdr:colOff>371475</xdr:colOff>
      <xdr:row>78</xdr:row>
      <xdr:rowOff>123825</xdr:rowOff>
    </xdr:to>
    <xdr:sp macro="" textlink="">
      <xdr:nvSpPr>
        <xdr:cNvPr id="12295" name="Text Box 7"/>
        <xdr:cNvSpPr txBox="1">
          <a:spLocks noChangeArrowheads="1"/>
        </xdr:cNvSpPr>
      </xdr:nvSpPr>
      <xdr:spPr bwMode="auto">
        <a:xfrm>
          <a:off x="6305550" y="14516100"/>
          <a:ext cx="2381250" cy="1066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969696" mc:Ignorable="a14" a14:legacySpreadsheetColorIndex="55"/>
          </a:solidFill>
          <a:miter lim="800000"/>
          <a:headEnd/>
          <a:tailEnd/>
        </a:ln>
        <a:effectLst>
          <a:outerShdw dist="35921" dir="2700000" algn="ctr" rotWithShape="0">
            <a:srgbClr val="808080"/>
          </a:outerShdw>
        </a:effectLst>
      </xdr:spPr>
      <xdr:txBody>
        <a:bodyPr vertOverflow="clip" wrap="square" lIns="90000" tIns="72000" rIns="90000" bIns="46800" anchor="t" upright="1"/>
        <a:lstStyle/>
        <a:p>
          <a:pPr algn="l" rtl="0">
            <a:lnSpc>
              <a:spcPts val="1200"/>
            </a:lnSpc>
            <a:defRPr sz="1000"/>
          </a:pPr>
          <a:r>
            <a:rPr lang="en-US" altLang="ja-JP" sz="1100" b="0" i="0" u="none" strike="noStrike" baseline="0">
              <a:solidFill>
                <a:srgbClr val="000000"/>
              </a:solidFill>
              <a:latin typeface="ＭＳ Ｐゴシック"/>
              <a:ea typeface="ＭＳ Ｐゴシック"/>
            </a:rPr>
            <a:t>7</a:t>
          </a:r>
          <a:r>
            <a:rPr lang="ja-JP" altLang="en-US" sz="1100" b="0" i="0" u="none" strike="noStrike" baseline="0">
              <a:solidFill>
                <a:srgbClr val="000000"/>
              </a:solidFill>
              <a:latin typeface="ＭＳ Ｐゴシック"/>
              <a:ea typeface="ＭＳ Ｐゴシック"/>
            </a:rPr>
            <a:t>位と</a:t>
          </a:r>
          <a:r>
            <a:rPr lang="en-US" altLang="ja-JP" sz="1100" b="0" i="0" u="none" strike="noStrike" baseline="0">
              <a:solidFill>
                <a:srgbClr val="000000"/>
              </a:solidFill>
              <a:latin typeface="ＭＳ Ｐゴシック"/>
              <a:ea typeface="ＭＳ Ｐゴシック"/>
            </a:rPr>
            <a:t>8</a:t>
          </a:r>
          <a:r>
            <a:rPr lang="ja-JP" altLang="en-US" sz="1100" b="0" i="0" u="none" strike="noStrike" baseline="0">
              <a:solidFill>
                <a:srgbClr val="000000"/>
              </a:solidFill>
              <a:latin typeface="ＭＳ Ｐゴシック"/>
              <a:ea typeface="ＭＳ Ｐゴシック"/>
            </a:rPr>
            <a:t>位の得点の差を</a:t>
          </a:r>
          <a:r>
            <a:rPr lang="en-US" altLang="ja-JP" sz="1100" b="0" i="0" u="none" strike="noStrike" baseline="0">
              <a:solidFill>
                <a:srgbClr val="000000"/>
              </a:solidFill>
              <a:latin typeface="ＭＳ Ｐゴシック"/>
              <a:ea typeface="ＭＳ Ｐゴシック"/>
            </a:rPr>
            <a:t>100000000000000</a:t>
          </a:r>
          <a:r>
            <a:rPr lang="ja-JP" altLang="en-US" sz="1100" b="0" i="0" u="none" strike="noStrike" baseline="0">
              <a:solidFill>
                <a:srgbClr val="000000"/>
              </a:solidFill>
              <a:latin typeface="ＭＳ Ｐゴシック"/>
              <a:ea typeface="ＭＳ Ｐゴシック"/>
            </a:rPr>
            <a:t>（百兆）倍してみると差は０ではないことが分ります。</a:t>
          </a:r>
        </a:p>
      </xdr:txBody>
    </xdr:sp>
    <xdr:clientData/>
  </xdr:twoCellAnchor>
  <xdr:twoCellAnchor>
    <xdr:from>
      <xdr:col>9</xdr:col>
      <xdr:colOff>104775</xdr:colOff>
      <xdr:row>82</xdr:row>
      <xdr:rowOff>38100</xdr:rowOff>
    </xdr:from>
    <xdr:to>
      <xdr:col>11</xdr:col>
      <xdr:colOff>190500</xdr:colOff>
      <xdr:row>83</xdr:row>
      <xdr:rowOff>133350</xdr:rowOff>
    </xdr:to>
    <xdr:sp macro="" textlink="">
      <xdr:nvSpPr>
        <xdr:cNvPr id="12296" name="AutoShape 8"/>
        <xdr:cNvSpPr>
          <a:spLocks noChangeArrowheads="1"/>
        </xdr:cNvSpPr>
      </xdr:nvSpPr>
      <xdr:spPr bwMode="auto">
        <a:xfrm>
          <a:off x="6276975" y="16230600"/>
          <a:ext cx="2228850" cy="276225"/>
        </a:xfrm>
        <a:prstGeom prst="wedgeRoundRectCallout">
          <a:avLst>
            <a:gd name="adj1" fmla="val 5556"/>
            <a:gd name="adj2" fmla="val -125861"/>
            <a:gd name="adj3"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ゴシック"/>
              <a:ea typeface="ＭＳ Ｐゴシック"/>
            </a:rPr>
            <a:t>=(</a:t>
          </a:r>
          <a:r>
            <a:rPr lang="en-US" altLang="ja-JP" sz="1100" b="0" i="0" u="none" strike="noStrike" baseline="0">
              <a:solidFill>
                <a:srgbClr val="0000FF"/>
              </a:solidFill>
              <a:latin typeface="ＭＳ Ｐゴシック"/>
              <a:ea typeface="ＭＳ Ｐゴシック"/>
            </a:rPr>
            <a:t>G81</a:t>
          </a:r>
          <a:r>
            <a:rPr lang="en-US" altLang="ja-JP" sz="1100" b="0" i="0" u="none" strike="noStrike" baseline="0">
              <a:solidFill>
                <a:srgbClr val="000000"/>
              </a:solidFill>
              <a:latin typeface="ＭＳ Ｐゴシック"/>
              <a:ea typeface="ＭＳ Ｐゴシック"/>
            </a:rPr>
            <a:t>-</a:t>
          </a:r>
          <a:r>
            <a:rPr lang="en-US" altLang="ja-JP" sz="1100" b="0" i="0" u="none" strike="noStrike" baseline="0">
              <a:solidFill>
                <a:srgbClr val="0000FF"/>
              </a:solidFill>
              <a:latin typeface="ＭＳ Ｐゴシック"/>
              <a:ea typeface="ＭＳ Ｐゴシック"/>
            </a:rPr>
            <a:t>G82</a:t>
          </a:r>
          <a:r>
            <a:rPr lang="en-US" altLang="ja-JP" sz="1100" b="0" i="0" u="none" strike="noStrike" baseline="0">
              <a:solidFill>
                <a:srgbClr val="000000"/>
              </a:solidFill>
              <a:latin typeface="ＭＳ Ｐゴシック"/>
              <a:ea typeface="ＭＳ Ｐゴシック"/>
            </a:rPr>
            <a:t>)*</a:t>
          </a:r>
          <a:r>
            <a:rPr lang="en-US" altLang="ja-JP" sz="1100" b="0" i="0" u="none" strike="noStrike" baseline="0">
              <a:solidFill>
                <a:srgbClr val="0000FF"/>
              </a:solidFill>
              <a:latin typeface="ＭＳ Ｐゴシック"/>
              <a:ea typeface="ＭＳ Ｐゴシック"/>
            </a:rPr>
            <a:t>100000000000000</a:t>
          </a:r>
        </a:p>
      </xdr:txBody>
    </xdr:sp>
    <xdr:clientData/>
  </xdr:twoCellAnchor>
  <xdr:twoCellAnchor>
    <xdr:from>
      <xdr:col>2</xdr:col>
      <xdr:colOff>666750</xdr:colOff>
      <xdr:row>90</xdr:row>
      <xdr:rowOff>9525</xdr:rowOff>
    </xdr:from>
    <xdr:to>
      <xdr:col>5</xdr:col>
      <xdr:colOff>571500</xdr:colOff>
      <xdr:row>92</xdr:row>
      <xdr:rowOff>142875</xdr:rowOff>
    </xdr:to>
    <xdr:sp macro="" textlink="">
      <xdr:nvSpPr>
        <xdr:cNvPr id="12297" name="AutoShape 9"/>
        <xdr:cNvSpPr>
          <a:spLocks noChangeArrowheads="1"/>
        </xdr:cNvSpPr>
      </xdr:nvSpPr>
      <xdr:spPr bwMode="auto">
        <a:xfrm>
          <a:off x="2038350" y="17583150"/>
          <a:ext cx="1962150" cy="476250"/>
        </a:xfrm>
        <a:prstGeom prst="downArrow">
          <a:avLst>
            <a:gd name="adj1" fmla="val 50000"/>
            <a:gd name="adj2" fmla="val 25000"/>
          </a:avLst>
        </a:prstGeom>
        <a:solidFill>
          <a:srgbClr xmlns:mc="http://schemas.openxmlformats.org/markup-compatibility/2006" xmlns:a14="http://schemas.microsoft.com/office/drawing/2010/main" val="C0C0C0" mc:Ignorable="a14" a14:legacySpreadsheetColorIndex="22"/>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22860" anchor="ctr" upright="1"/>
        <a:lstStyle/>
        <a:p>
          <a:pPr algn="ctr" rtl="0">
            <a:defRPr sz="1000"/>
          </a:pPr>
          <a:r>
            <a:rPr lang="ja-JP" altLang="en-US" sz="1800" b="0" i="0" u="none" strike="noStrike" baseline="0">
              <a:solidFill>
                <a:srgbClr val="0000FF"/>
              </a:solidFill>
              <a:latin typeface="ＭＳ Ｐゴシック"/>
              <a:ea typeface="ＭＳ Ｐゴシック"/>
            </a:rPr>
            <a:t>対処法</a:t>
          </a:r>
        </a:p>
      </xdr:txBody>
    </xdr:sp>
    <xdr:clientData/>
  </xdr:twoCellAnchor>
  <xdr:twoCellAnchor>
    <xdr:from>
      <xdr:col>0</xdr:col>
      <xdr:colOff>0</xdr:colOff>
      <xdr:row>99</xdr:row>
      <xdr:rowOff>123825</xdr:rowOff>
    </xdr:from>
    <xdr:to>
      <xdr:col>6</xdr:col>
      <xdr:colOff>200025</xdr:colOff>
      <xdr:row>103</xdr:row>
      <xdr:rowOff>123825</xdr:rowOff>
    </xdr:to>
    <xdr:sp macro="" textlink="">
      <xdr:nvSpPr>
        <xdr:cNvPr id="12298" name="AutoShape 10"/>
        <xdr:cNvSpPr>
          <a:spLocks noChangeArrowheads="1"/>
        </xdr:cNvSpPr>
      </xdr:nvSpPr>
      <xdr:spPr bwMode="auto">
        <a:xfrm>
          <a:off x="0" y="19259550"/>
          <a:ext cx="4314825" cy="714375"/>
        </a:xfrm>
        <a:prstGeom prst="wedgeRoundRectCallout">
          <a:avLst>
            <a:gd name="adj1" fmla="val 48014"/>
            <a:gd name="adj2" fmla="val -147333"/>
            <a:gd name="adj3"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関数を用いて小数点以下</a:t>
          </a:r>
          <a:r>
            <a:rPr lang="en-US" altLang="ja-JP" sz="1100" b="0" i="0" u="none" strike="noStrike" baseline="0">
              <a:solidFill>
                <a:srgbClr val="000000"/>
              </a:solidFill>
              <a:latin typeface="ＭＳ Ｐゴシック"/>
              <a:ea typeface="ＭＳ Ｐゴシック"/>
            </a:rPr>
            <a:t>3</a:t>
          </a:r>
          <a:r>
            <a:rPr lang="ja-JP" altLang="en-US" sz="1100" b="0" i="0" u="none" strike="noStrike" baseline="0">
              <a:solidFill>
                <a:srgbClr val="000000"/>
              </a:solidFill>
              <a:latin typeface="ＭＳ Ｐゴシック"/>
              <a:ea typeface="ＭＳ Ｐゴシック"/>
            </a:rPr>
            <a:t>桁以降を切り捨てると、めでたく順位が同じになりました。</a:t>
          </a:r>
        </a:p>
        <a:p>
          <a:pPr algn="l" rtl="0">
            <a:lnSpc>
              <a:spcPts val="1200"/>
            </a:lnSpc>
            <a:defRPr sz="1000"/>
          </a:pPr>
          <a:r>
            <a:rPr lang="en-US" altLang="ja-JP" sz="1100" b="0" i="0" u="none" strike="noStrike" baseline="0">
              <a:solidFill>
                <a:srgbClr val="000000"/>
              </a:solidFill>
              <a:latin typeface="ＭＳ Ｐゴシック"/>
              <a:ea typeface="ＭＳ Ｐゴシック"/>
            </a:rPr>
            <a:t>=</a:t>
          </a:r>
          <a:r>
            <a:rPr lang="en-US" altLang="ja-JP" sz="1100" b="0" i="0" u="none" strike="noStrike" baseline="0">
              <a:solidFill>
                <a:srgbClr val="FF0000"/>
              </a:solidFill>
              <a:latin typeface="ＭＳ Ｐゴシック"/>
              <a:ea typeface="ＭＳ Ｐゴシック"/>
            </a:rPr>
            <a:t>ROUNDDOWN</a:t>
          </a:r>
          <a:r>
            <a:rPr lang="en-US" altLang="ja-JP" sz="1100" b="0" i="0" u="none" strike="noStrike" baseline="0">
              <a:solidFill>
                <a:srgbClr val="0000FF"/>
              </a:solidFill>
              <a:latin typeface="ＭＳ Ｐゴシック"/>
              <a:ea typeface="ＭＳ Ｐゴシック"/>
            </a:rPr>
            <a:t>(SUM(B96:F96)-MAX(B96:F96)-MIN(B96:F96),</a:t>
          </a:r>
          <a:r>
            <a:rPr lang="en-US" altLang="ja-JP" sz="1100" b="0" i="0" u="none" strike="noStrike" baseline="0">
              <a:solidFill>
                <a:srgbClr val="FF0000"/>
              </a:solidFill>
              <a:latin typeface="ＭＳ Ｐゴシック"/>
              <a:ea typeface="ＭＳ Ｐゴシック"/>
            </a:rPr>
            <a:t>2</a:t>
          </a:r>
          <a:r>
            <a:rPr lang="en-US" altLang="ja-JP" sz="1100" b="0" i="0" u="none" strike="noStrike" baseline="0">
              <a:solidFill>
                <a:srgbClr val="0000FF"/>
              </a:solidFill>
              <a:latin typeface="ＭＳ Ｐゴシック"/>
              <a:ea typeface="ＭＳ Ｐゴシック"/>
            </a:rPr>
            <a:t>)</a:t>
          </a:r>
        </a:p>
      </xdr:txBody>
    </xdr:sp>
    <xdr:clientData/>
  </xdr:twoCellAnchor>
  <xdr:twoCellAnchor>
    <xdr:from>
      <xdr:col>0</xdr:col>
      <xdr:colOff>548320</xdr:colOff>
      <xdr:row>18</xdr:row>
      <xdr:rowOff>138454</xdr:rowOff>
    </xdr:from>
    <xdr:to>
      <xdr:col>7</xdr:col>
      <xdr:colOff>552703</xdr:colOff>
      <xdr:row>29</xdr:row>
      <xdr:rowOff>76406</xdr:rowOff>
    </xdr:to>
    <xdr:grpSp>
      <xdr:nvGrpSpPr>
        <xdr:cNvPr id="12305" name="Group 17"/>
        <xdr:cNvGrpSpPr>
          <a:grpSpLocks/>
        </xdr:cNvGrpSpPr>
      </xdr:nvGrpSpPr>
      <xdr:grpSpPr bwMode="auto">
        <a:xfrm>
          <a:off x="548320" y="3224554"/>
          <a:ext cx="4271583" cy="1789612"/>
          <a:chOff x="213" y="312"/>
          <a:chExt cx="492" cy="192"/>
        </a:xfrm>
      </xdr:grpSpPr>
      <xdr:sp macro="" textlink="">
        <xdr:nvSpPr>
          <xdr:cNvPr id="12300" name="AutoShape 12"/>
          <xdr:cNvSpPr>
            <a:spLocks noChangeArrowheads="1"/>
          </xdr:cNvSpPr>
        </xdr:nvSpPr>
        <xdr:spPr bwMode="auto">
          <a:xfrm>
            <a:off x="213" y="312"/>
            <a:ext cx="492" cy="151"/>
          </a:xfrm>
          <a:prstGeom prst="roundRect">
            <a:avLst>
              <a:gd name="adj" fmla="val 993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808080" mc:Ignorable="a14" a14:legacySpreadsheetColorIndex="23"/>
            </a:solidFill>
            <a:round/>
            <a:headEnd/>
            <a:tailEnd/>
          </a:ln>
          <a:effectLst>
            <a:outerShdw dist="35921" dir="2700000" algn="ctr" rotWithShape="0">
              <a:srgbClr val="808080"/>
            </a:outerShdw>
          </a:effec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以下の点に留意して計算式を入力し、上の表を完成させて下さい。</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・「得点」では、</a:t>
            </a:r>
            <a:r>
              <a:rPr lang="ja-JP" altLang="en-US" sz="1100" b="0" i="0" u="none" strike="noStrike" baseline="0">
                <a:solidFill>
                  <a:srgbClr val="FF0000"/>
                </a:solidFill>
                <a:latin typeface="ＭＳ Ｐゴシック"/>
                <a:ea typeface="ＭＳ Ｐゴシック"/>
              </a:rPr>
              <a:t>最高点と最低点を除いた</a:t>
            </a:r>
            <a:r>
              <a:rPr lang="en-US" altLang="ja-JP" sz="1100" b="0" i="0" u="none" strike="noStrike" baseline="0">
                <a:solidFill>
                  <a:srgbClr val="000000"/>
                </a:solidFill>
                <a:latin typeface="ＭＳ Ｐゴシック"/>
                <a:ea typeface="ＭＳ Ｐゴシック"/>
              </a:rPr>
              <a:t>3</a:t>
            </a:r>
            <a:r>
              <a:rPr lang="ja-JP" altLang="en-US" sz="1100" b="0" i="0" u="none" strike="noStrike" baseline="0">
                <a:solidFill>
                  <a:srgbClr val="000000"/>
                </a:solidFill>
                <a:latin typeface="ＭＳ Ｐゴシック"/>
                <a:ea typeface="ＭＳ Ｐゴシック"/>
              </a:rPr>
              <a:t>名の審査員の点数を合計。</a:t>
            </a:r>
          </a:p>
          <a:p>
            <a:pPr algn="l" rtl="0">
              <a:lnSpc>
                <a:spcPts val="1300"/>
              </a:lnSpc>
              <a:defRPr sz="1000"/>
            </a:pPr>
            <a:r>
              <a:rPr lang="ja-JP" altLang="en-US" sz="1100" b="0" i="0" u="none" strike="noStrike" baseline="0">
                <a:solidFill>
                  <a:srgbClr val="000000"/>
                </a:solidFill>
                <a:latin typeface="ＭＳ Ｐゴシック"/>
                <a:ea typeface="ＭＳ Ｐゴシック"/>
              </a:rPr>
              <a:t>・「順位」には、</a:t>
            </a:r>
            <a:r>
              <a:rPr lang="ja-JP" altLang="en-US" sz="1100" b="0" i="0" u="none" strike="noStrike" baseline="0">
                <a:solidFill>
                  <a:srgbClr val="FF0000"/>
                </a:solidFill>
                <a:latin typeface="ＭＳ Ｐゴシック"/>
                <a:ea typeface="ＭＳ Ｐゴシック"/>
              </a:rPr>
              <a:t>得点の高い順に１～１５の値</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を表示。</a:t>
            </a:r>
          </a:p>
          <a:p>
            <a:pPr algn="l" rtl="0">
              <a:lnSpc>
                <a:spcPts val="1300"/>
              </a:lnSpc>
              <a:defRPr sz="1000"/>
            </a:pPr>
            <a:r>
              <a:rPr lang="ja-JP" altLang="en-US" sz="1100" b="0" i="0" u="none" strike="noStrike" baseline="0">
                <a:solidFill>
                  <a:srgbClr val="000000"/>
                </a:solidFill>
                <a:latin typeface="ＭＳ Ｐゴシック"/>
                <a:ea typeface="ＭＳ Ｐゴシック"/>
              </a:rPr>
              <a:t>・「結果」には、順位が</a:t>
            </a:r>
            <a:r>
              <a:rPr lang="en-US" altLang="ja-JP" sz="1100" b="0" i="0" u="none" strike="noStrike" baseline="0">
                <a:solidFill>
                  <a:srgbClr val="FF0000"/>
                </a:solidFill>
                <a:latin typeface="ＭＳ Ｐゴシック"/>
                <a:ea typeface="ＭＳ Ｐゴシック"/>
              </a:rPr>
              <a:t>10</a:t>
            </a:r>
            <a:r>
              <a:rPr lang="ja-JP" altLang="en-US" sz="1100" b="0" i="0" u="none" strike="noStrike" baseline="0">
                <a:solidFill>
                  <a:srgbClr val="FF0000"/>
                </a:solidFill>
                <a:latin typeface="ＭＳ Ｐゴシック"/>
                <a:ea typeface="ＭＳ Ｐゴシック"/>
              </a:rPr>
              <a:t>位以内</a:t>
            </a:r>
            <a:r>
              <a:rPr lang="ja-JP" altLang="en-US" sz="1100" b="0" i="0" u="none" strike="noStrike" baseline="0">
                <a:solidFill>
                  <a:srgbClr val="000000"/>
                </a:solidFill>
                <a:latin typeface="ＭＳ Ｐゴシック"/>
                <a:ea typeface="ＭＳ Ｐゴシック"/>
              </a:rPr>
              <a:t>の人は「</a:t>
            </a:r>
            <a:r>
              <a:rPr lang="ja-JP" altLang="en-US" sz="1100" b="0" i="0" u="none" strike="noStrike" baseline="0">
                <a:solidFill>
                  <a:srgbClr val="0000FF"/>
                </a:solidFill>
                <a:latin typeface="ＭＳ Ｐゴシック"/>
                <a:ea typeface="ＭＳ Ｐゴシック"/>
              </a:rPr>
              <a:t>予選通過</a:t>
            </a:r>
            <a:r>
              <a:rPr lang="ja-JP" altLang="en-US" sz="1100" b="0" i="0" u="none" strike="noStrike" baseline="0">
                <a:solidFill>
                  <a:srgbClr val="000000"/>
                </a:solidFill>
                <a:latin typeface="ＭＳ Ｐゴシック"/>
                <a:ea typeface="ＭＳ Ｐゴシック"/>
              </a:rPr>
              <a:t>」と表示し、</a:t>
            </a:r>
            <a:r>
              <a:rPr lang="en-US" altLang="ja-JP" sz="1100" b="0" i="0" u="none" strike="noStrike" baseline="0">
                <a:solidFill>
                  <a:srgbClr val="FF0000"/>
                </a:solidFill>
                <a:latin typeface="ＭＳ Ｐゴシック"/>
                <a:ea typeface="ＭＳ Ｐゴシック"/>
              </a:rPr>
              <a:t>11</a:t>
            </a:r>
            <a:r>
              <a:rPr lang="ja-JP" altLang="en-US" sz="1100" b="0" i="0" u="none" strike="noStrike" baseline="0">
                <a:solidFill>
                  <a:srgbClr val="FF0000"/>
                </a:solidFill>
                <a:latin typeface="ＭＳ Ｐゴシック"/>
                <a:ea typeface="ＭＳ Ｐゴシック"/>
              </a:rPr>
              <a:t>位以降</a:t>
            </a:r>
            <a:r>
              <a:rPr lang="ja-JP" altLang="en-US" sz="1100" b="0" i="0" u="none" strike="noStrike" baseline="0">
                <a:solidFill>
                  <a:srgbClr val="000000"/>
                </a:solidFill>
                <a:latin typeface="ＭＳ Ｐゴシック"/>
                <a:ea typeface="ＭＳ Ｐゴシック"/>
              </a:rPr>
              <a:t>の人は</a:t>
            </a:r>
            <a:r>
              <a:rPr lang="ja-JP" altLang="en-US" sz="1100" b="0" i="0" u="none" strike="noStrike" baseline="0">
                <a:solidFill>
                  <a:srgbClr val="0000FF"/>
                </a:solidFill>
                <a:latin typeface="ＭＳ Ｐゴシック"/>
                <a:ea typeface="ＭＳ Ｐゴシック"/>
              </a:rPr>
              <a:t>何も表示しない</a:t>
            </a:r>
            <a:r>
              <a:rPr lang="ja-JP" altLang="en-US" sz="1100" b="0" i="0" u="none" strike="noStrike" baseline="0">
                <a:solidFill>
                  <a:srgbClr val="000000"/>
                </a:solidFill>
                <a:latin typeface="ＭＳ Ｐゴシック"/>
                <a:ea typeface="ＭＳ Ｐゴシック"/>
              </a:rPr>
              <a:t>。</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sp macro="" textlink="">
        <xdr:nvSpPr>
          <xdr:cNvPr id="12304" name="AutoShape 16">
            <a:hlinkClick xmlns:r="http://schemas.openxmlformats.org/officeDocument/2006/relationships" r:id="rId1"/>
          </xdr:cNvPr>
          <xdr:cNvSpPr>
            <a:spLocks noChangeArrowheads="1"/>
          </xdr:cNvSpPr>
        </xdr:nvSpPr>
        <xdr:spPr bwMode="auto">
          <a:xfrm>
            <a:off x="219" y="472"/>
            <a:ext cx="57" cy="32"/>
          </a:xfrm>
          <a:prstGeom prst="bevel">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100" b="0" i="0" u="sng" strike="noStrike" baseline="0">
                <a:solidFill>
                  <a:srgbClr val="0000FF"/>
                </a:solidFill>
                <a:latin typeface="ＭＳ Ｐゴシック"/>
                <a:ea typeface="ＭＳ Ｐゴシック"/>
              </a:rPr>
              <a:t>次へ</a:t>
            </a:r>
          </a:p>
        </xdr:txBody>
      </xdr:sp>
    </xdr:grpSp>
    <xdr:clientData/>
  </xdr:twoCellAnchor>
  <xdr:twoCellAnchor>
    <xdr:from>
      <xdr:col>1</xdr:col>
      <xdr:colOff>228600</xdr:colOff>
      <xdr:row>44</xdr:row>
      <xdr:rowOff>152400</xdr:rowOff>
    </xdr:from>
    <xdr:to>
      <xdr:col>6</xdr:col>
      <xdr:colOff>104775</xdr:colOff>
      <xdr:row>47</xdr:row>
      <xdr:rowOff>57150</xdr:rowOff>
    </xdr:to>
    <xdr:sp macro="" textlink="">
      <xdr:nvSpPr>
        <xdr:cNvPr id="12306" name="AutoShape 18"/>
        <xdr:cNvSpPr>
          <a:spLocks noChangeArrowheads="1"/>
        </xdr:cNvSpPr>
      </xdr:nvSpPr>
      <xdr:spPr bwMode="auto">
        <a:xfrm>
          <a:off x="914400" y="9744075"/>
          <a:ext cx="3305175" cy="419100"/>
        </a:xfrm>
        <a:prstGeom prst="wedgeRectCallout">
          <a:avLst>
            <a:gd name="adj1" fmla="val 53745"/>
            <a:gd name="adj2" fmla="val -14772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FF0000"/>
              </a:solidFill>
              <a:latin typeface="ＭＳ Ｐゴシック"/>
              <a:ea typeface="ＭＳ Ｐゴシック"/>
            </a:rPr>
            <a:t>得点</a:t>
          </a:r>
          <a:r>
            <a:rPr lang="ja-JP" altLang="en-US" sz="1100" b="0" i="0" u="none" strike="noStrike" baseline="0">
              <a:solidFill>
                <a:srgbClr val="000000"/>
              </a:solidFill>
              <a:latin typeface="ＭＳ Ｐゴシック"/>
              <a:ea typeface="ＭＳ Ｐゴシック"/>
            </a:rPr>
            <a:t>＝</a:t>
          </a:r>
          <a:r>
            <a:rPr lang="ja-JP" altLang="en-US" sz="1100" b="0" i="0" u="none" strike="noStrike" baseline="0">
              <a:solidFill>
                <a:srgbClr val="FF0000"/>
              </a:solidFill>
              <a:latin typeface="ＭＳ Ｐゴシック"/>
              <a:ea typeface="ＭＳ Ｐゴシック"/>
            </a:rPr>
            <a:t>合計点</a:t>
          </a:r>
          <a:r>
            <a:rPr lang="ja-JP" altLang="en-US" sz="1100" b="0" i="0" u="none" strike="noStrike" baseline="0">
              <a:solidFill>
                <a:srgbClr val="000000"/>
              </a:solidFill>
              <a:latin typeface="ＭＳ Ｐゴシック"/>
              <a:ea typeface="ＭＳ Ｐゴシック"/>
            </a:rPr>
            <a:t>から</a:t>
          </a:r>
          <a:r>
            <a:rPr lang="ja-JP" altLang="en-US" sz="1100" b="0" i="0" u="none" strike="noStrike" baseline="0">
              <a:solidFill>
                <a:srgbClr val="FF0000"/>
              </a:solidFill>
              <a:latin typeface="ＭＳ Ｐゴシック"/>
              <a:ea typeface="ＭＳ Ｐゴシック"/>
            </a:rPr>
            <a:t>最高点</a:t>
          </a:r>
          <a:r>
            <a:rPr lang="ja-JP" altLang="en-US" sz="1100" b="0" i="0" u="none" strike="noStrike" baseline="0">
              <a:solidFill>
                <a:srgbClr val="000000"/>
              </a:solidFill>
              <a:latin typeface="ＭＳ Ｐゴシック"/>
              <a:ea typeface="ＭＳ Ｐゴシック"/>
            </a:rPr>
            <a:t>と</a:t>
          </a:r>
          <a:r>
            <a:rPr lang="ja-JP" altLang="en-US" sz="1100" b="0" i="0" u="none" strike="noStrike" baseline="0">
              <a:solidFill>
                <a:srgbClr val="FF0000"/>
              </a:solidFill>
              <a:latin typeface="ＭＳ Ｐゴシック"/>
              <a:ea typeface="ＭＳ Ｐゴシック"/>
            </a:rPr>
            <a:t>最低点</a:t>
          </a:r>
          <a:r>
            <a:rPr lang="ja-JP" altLang="en-US" sz="1100" b="0" i="0" u="none" strike="noStrike" baseline="0">
              <a:solidFill>
                <a:srgbClr val="000000"/>
              </a:solidFill>
              <a:latin typeface="ＭＳ Ｐゴシック"/>
              <a:ea typeface="ＭＳ Ｐゴシック"/>
            </a:rPr>
            <a:t>を引いたもの</a:t>
          </a:r>
        </a:p>
        <a:p>
          <a:pPr algn="l" rtl="0">
            <a:lnSpc>
              <a:spcPts val="1300"/>
            </a:lnSpc>
            <a:defRPr sz="1000"/>
          </a:pPr>
          <a:r>
            <a:rPr lang="en-US" altLang="ja-JP" sz="1100" b="0" i="0" u="none" strike="noStrike" baseline="0">
              <a:solidFill>
                <a:srgbClr val="000000"/>
              </a:solidFill>
              <a:latin typeface="ＭＳ Ｐゴシック"/>
              <a:ea typeface="ＭＳ Ｐゴシック"/>
            </a:rPr>
            <a:t>=</a:t>
          </a:r>
          <a:r>
            <a:rPr lang="en-US" altLang="ja-JP" sz="1100" b="0" i="0" u="none" strike="noStrike" baseline="0">
              <a:solidFill>
                <a:srgbClr val="FF0000"/>
              </a:solidFill>
              <a:latin typeface="ＭＳ Ｐゴシック"/>
              <a:ea typeface="ＭＳ Ｐゴシック"/>
            </a:rPr>
            <a:t>SUM</a:t>
          </a:r>
          <a:r>
            <a:rPr lang="en-US" altLang="ja-JP" sz="1100" b="0" i="0" u="none" strike="noStrike" baseline="0">
              <a:solidFill>
                <a:srgbClr val="000000"/>
              </a:solidFill>
              <a:latin typeface="ＭＳ Ｐゴシック"/>
              <a:ea typeface="ＭＳ Ｐゴシック"/>
            </a:rPr>
            <a:t>(B43:F43)-</a:t>
          </a:r>
          <a:r>
            <a:rPr lang="en-US" altLang="ja-JP" sz="1100" b="0" i="0" u="none" strike="noStrike" baseline="0">
              <a:solidFill>
                <a:srgbClr val="FF0000"/>
              </a:solidFill>
              <a:latin typeface="ＭＳ Ｐゴシック"/>
              <a:ea typeface="ＭＳ Ｐゴシック"/>
            </a:rPr>
            <a:t>MAX</a:t>
          </a:r>
          <a:r>
            <a:rPr lang="en-US" altLang="ja-JP" sz="1100" b="0" i="0" u="none" strike="noStrike" baseline="0">
              <a:solidFill>
                <a:srgbClr val="000000"/>
              </a:solidFill>
              <a:latin typeface="ＭＳ Ｐゴシック"/>
              <a:ea typeface="ＭＳ Ｐゴシック"/>
            </a:rPr>
            <a:t>(B43:F43)-</a:t>
          </a:r>
          <a:r>
            <a:rPr lang="en-US" altLang="ja-JP" sz="1100" b="0" i="0" u="none" strike="noStrike" baseline="0">
              <a:solidFill>
                <a:srgbClr val="FF0000"/>
              </a:solidFill>
              <a:latin typeface="ＭＳ Ｐゴシック"/>
              <a:ea typeface="ＭＳ Ｐゴシック"/>
            </a:rPr>
            <a:t>MIN</a:t>
          </a:r>
          <a:r>
            <a:rPr lang="en-US" altLang="ja-JP" sz="1100" b="0" i="0" u="none" strike="noStrike" baseline="0">
              <a:solidFill>
                <a:srgbClr val="000000"/>
              </a:solidFill>
              <a:latin typeface="ＭＳ Ｐゴシック"/>
              <a:ea typeface="ＭＳ Ｐゴシック"/>
            </a:rPr>
            <a:t>(B43:F43)</a:t>
          </a:r>
        </a:p>
      </xdr:txBody>
    </xdr:sp>
    <xdr:clientData/>
  </xdr:twoCellAnchor>
  <xdr:twoCellAnchor>
    <xdr:from>
      <xdr:col>5</xdr:col>
      <xdr:colOff>171450</xdr:colOff>
      <xdr:row>38</xdr:row>
      <xdr:rowOff>9525</xdr:rowOff>
    </xdr:from>
    <xdr:to>
      <xdr:col>9</xdr:col>
      <xdr:colOff>733425</xdr:colOff>
      <xdr:row>40</xdr:row>
      <xdr:rowOff>76200</xdr:rowOff>
    </xdr:to>
    <xdr:sp macro="" textlink="">
      <xdr:nvSpPr>
        <xdr:cNvPr id="12307" name="AutoShape 19"/>
        <xdr:cNvSpPr>
          <a:spLocks noChangeArrowheads="1"/>
        </xdr:cNvSpPr>
      </xdr:nvSpPr>
      <xdr:spPr bwMode="auto">
        <a:xfrm>
          <a:off x="3600450" y="8496300"/>
          <a:ext cx="3305175" cy="466725"/>
        </a:xfrm>
        <a:prstGeom prst="wedgeRectCallout">
          <a:avLst>
            <a:gd name="adj1" fmla="val -144"/>
            <a:gd name="adj2" fmla="val 115306"/>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順序：</a:t>
          </a:r>
          <a:r>
            <a:rPr lang="en-US" altLang="ja-JP" sz="1100" b="0" i="0" u="none" strike="noStrike" baseline="0">
              <a:solidFill>
                <a:srgbClr val="000000"/>
              </a:solidFill>
              <a:latin typeface="ＭＳ Ｐゴシック"/>
              <a:ea typeface="ＭＳ Ｐゴシック"/>
            </a:rPr>
            <a:t>RANK</a:t>
          </a:r>
          <a:r>
            <a:rPr lang="ja-JP" altLang="en-US" sz="1100" b="0" i="0" u="none" strike="noStrike" baseline="0">
              <a:solidFill>
                <a:srgbClr val="000000"/>
              </a:solidFill>
              <a:latin typeface="ＭＳ Ｐゴシック"/>
              <a:ea typeface="ＭＳ Ｐゴシック"/>
            </a:rPr>
            <a:t>関数の第２パラメータは省略→大きい順</a:t>
          </a:r>
        </a:p>
        <a:p>
          <a:pPr algn="l" rtl="0">
            <a:lnSpc>
              <a:spcPts val="1300"/>
            </a:lnSpc>
            <a:defRPr sz="1000"/>
          </a:pPr>
          <a:r>
            <a:rPr lang="en-US" altLang="ja-JP" sz="1100" b="0" i="0" u="none" strike="noStrike" baseline="0">
              <a:solidFill>
                <a:srgbClr val="000000"/>
              </a:solidFill>
              <a:latin typeface="ＭＳ Ｐゴシック"/>
              <a:ea typeface="ＭＳ Ｐゴシック"/>
            </a:rPr>
            <a:t>=</a:t>
          </a:r>
          <a:r>
            <a:rPr lang="en-US" altLang="ja-JP" sz="1100" b="0" i="0" u="none" strike="noStrike" baseline="0">
              <a:solidFill>
                <a:srgbClr val="FF0000"/>
              </a:solidFill>
              <a:latin typeface="ＭＳ Ｐゴシック"/>
              <a:ea typeface="ＭＳ Ｐゴシック"/>
            </a:rPr>
            <a:t>RANK</a:t>
          </a:r>
          <a:r>
            <a:rPr lang="en-US" altLang="ja-JP" sz="1100" b="0" i="0" u="none" strike="noStrike" baseline="0">
              <a:solidFill>
                <a:srgbClr val="000000"/>
              </a:solidFill>
              <a:latin typeface="ＭＳ Ｐゴシック"/>
              <a:ea typeface="ＭＳ Ｐゴシック"/>
            </a:rPr>
            <a:t>(G43,$G$43:$G$57)</a:t>
          </a:r>
        </a:p>
      </xdr:txBody>
    </xdr:sp>
    <xdr:clientData/>
  </xdr:twoCellAnchor>
  <xdr:twoCellAnchor>
    <xdr:from>
      <xdr:col>8</xdr:col>
      <xdr:colOff>28575</xdr:colOff>
      <xdr:row>44</xdr:row>
      <xdr:rowOff>152400</xdr:rowOff>
    </xdr:from>
    <xdr:to>
      <xdr:col>9</xdr:col>
      <xdr:colOff>1247775</xdr:colOff>
      <xdr:row>46</xdr:row>
      <xdr:rowOff>152400</xdr:rowOff>
    </xdr:to>
    <xdr:sp macro="" textlink="">
      <xdr:nvSpPr>
        <xdr:cNvPr id="12308" name="AutoShape 20"/>
        <xdr:cNvSpPr>
          <a:spLocks noChangeArrowheads="1"/>
        </xdr:cNvSpPr>
      </xdr:nvSpPr>
      <xdr:spPr bwMode="auto">
        <a:xfrm>
          <a:off x="5514975" y="9744075"/>
          <a:ext cx="1905000" cy="342900"/>
        </a:xfrm>
        <a:prstGeom prst="wedgeRectCallout">
          <a:avLst>
            <a:gd name="adj1" fmla="val -22000"/>
            <a:gd name="adj2" fmla="val -16944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Ｐゴシック"/>
              <a:ea typeface="ＭＳ Ｐゴシック"/>
            </a:rPr>
            <a:t>=</a:t>
          </a:r>
          <a:r>
            <a:rPr lang="en-US" altLang="ja-JP" sz="1100" b="0" i="0" u="none" strike="noStrike" baseline="0">
              <a:solidFill>
                <a:srgbClr val="FF0000"/>
              </a:solidFill>
              <a:latin typeface="ＭＳ Ｐゴシック"/>
              <a:ea typeface="ＭＳ Ｐゴシック"/>
            </a:rPr>
            <a:t>IF</a:t>
          </a:r>
          <a:r>
            <a:rPr lang="en-US" altLang="ja-JP" sz="1100" b="0" i="0" u="none" strike="noStrike" baseline="0">
              <a:solidFill>
                <a:srgbClr val="000000"/>
              </a:solidFill>
              <a:latin typeface="ＭＳ Ｐゴシック"/>
              <a:ea typeface="ＭＳ Ｐゴシック"/>
            </a:rPr>
            <a:t>(H43&lt;=10,"</a:t>
          </a:r>
          <a:r>
            <a:rPr lang="ja-JP" altLang="en-US" sz="1100" b="0" i="0" u="none" strike="noStrike" baseline="0">
              <a:solidFill>
                <a:srgbClr val="FF0000"/>
              </a:solidFill>
              <a:latin typeface="ＭＳ Ｐゴシック"/>
              <a:ea typeface="ＭＳ Ｐゴシック"/>
            </a:rPr>
            <a:t>予選通過</a:t>
          </a:r>
          <a:r>
            <a:rPr lang="en-US" altLang="ja-JP" sz="1100" b="0" i="0" u="none" strike="noStrike" baseline="0">
              <a:solidFill>
                <a:srgbClr val="000000"/>
              </a:solidFill>
              <a:latin typeface="ＭＳ Ｐゴシック"/>
              <a:ea typeface="ＭＳ Ｐゴシック"/>
            </a:rPr>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457200</xdr:colOff>
      <xdr:row>9</xdr:row>
      <xdr:rowOff>114300</xdr:rowOff>
    </xdr:from>
    <xdr:to>
      <xdr:col>2</xdr:col>
      <xdr:colOff>323850</xdr:colOff>
      <xdr:row>13</xdr:row>
      <xdr:rowOff>66675</xdr:rowOff>
    </xdr:to>
    <xdr:sp macro="" textlink="">
      <xdr:nvSpPr>
        <xdr:cNvPr id="16386" name="AutoShape 2"/>
        <xdr:cNvSpPr>
          <a:spLocks noChangeArrowheads="1"/>
        </xdr:cNvSpPr>
      </xdr:nvSpPr>
      <xdr:spPr bwMode="auto">
        <a:xfrm>
          <a:off x="457200" y="1762125"/>
          <a:ext cx="1657350" cy="638175"/>
        </a:xfrm>
        <a:prstGeom prst="wedgeRoundRectCallout">
          <a:avLst>
            <a:gd name="adj1" fmla="val 38273"/>
            <a:gd name="adj2" fmla="val -103625"/>
            <a:gd name="adj3" fmla="val 16667"/>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FF00" mc:Ignorable="a14" a14:legacySpreadsheetColorIndex="11"/>
          </a:solidFill>
          <a:miter lim="800000"/>
          <a:headEnd/>
          <a:tailEnd/>
        </a:ln>
      </xdr:spPr>
      <xdr:txBody>
        <a:bodyPr vertOverflow="clip" wrap="square" lIns="27432" tIns="18288" rIns="0" bIns="0" anchor="t" upright="1"/>
        <a:lstStyle/>
        <a:p>
          <a:pPr algn="l" rtl="0">
            <a:lnSpc>
              <a:spcPts val="1200"/>
            </a:lnSpc>
            <a:defRPr sz="1000"/>
          </a:pPr>
          <a:r>
            <a:rPr lang="ja-JP" altLang="en-US" sz="1100" b="0" i="0" u="none" strike="noStrike" baseline="0">
              <a:solidFill>
                <a:srgbClr val="0000FF"/>
              </a:solidFill>
              <a:latin typeface="ＭＳ Ｐゴシック"/>
              <a:ea typeface="ＭＳ Ｐゴシック"/>
            </a:rPr>
            <a:t>今月が誕生日の人に「○」を表示するには？</a:t>
          </a:r>
        </a:p>
      </xdr:txBody>
    </xdr:sp>
    <xdr:clientData/>
  </xdr:twoCellAnchor>
  <xdr:twoCellAnchor>
    <xdr:from>
      <xdr:col>3</xdr:col>
      <xdr:colOff>266700</xdr:colOff>
      <xdr:row>40</xdr:row>
      <xdr:rowOff>114300</xdr:rowOff>
    </xdr:from>
    <xdr:to>
      <xdr:col>5</xdr:col>
      <xdr:colOff>238125</xdr:colOff>
      <xdr:row>47</xdr:row>
      <xdr:rowOff>114300</xdr:rowOff>
    </xdr:to>
    <xdr:sp macro="" textlink="">
      <xdr:nvSpPr>
        <xdr:cNvPr id="16387" name="AutoShape 3"/>
        <xdr:cNvSpPr>
          <a:spLocks noChangeArrowheads="1"/>
        </xdr:cNvSpPr>
      </xdr:nvSpPr>
      <xdr:spPr bwMode="auto">
        <a:xfrm>
          <a:off x="3209925" y="7086600"/>
          <a:ext cx="4057650" cy="1285875"/>
        </a:xfrm>
        <a:prstGeom prst="roundRect">
          <a:avLst>
            <a:gd name="adj" fmla="val 16667"/>
          </a:avLst>
        </a:prstGeom>
        <a:solidFill>
          <a:srgbClr val="DDFFDD"/>
        </a:solidFill>
        <a:ln w="9525">
          <a:solidFill>
            <a:srgbClr xmlns:mc="http://schemas.openxmlformats.org/markup-compatibility/2006" xmlns:a14="http://schemas.microsoft.com/office/drawing/2010/main" val="00FF00" mc:Ignorable="a14" a14:legacySpreadsheetColorIndex="11"/>
          </a:solidFill>
          <a:round/>
          <a:headEnd/>
          <a:tailEnd/>
        </a:ln>
      </xdr:spPr>
      <xdr:txBody>
        <a:bodyPr vertOverflow="clip" wrap="square" lIns="27432" tIns="18288" rIns="0" bIns="0" anchor="t" upright="1"/>
        <a:lstStyle/>
        <a:p>
          <a:pPr algn="l" rtl="0">
            <a:lnSpc>
              <a:spcPts val="1400"/>
            </a:lnSpc>
            <a:defRPr sz="1000"/>
          </a:pPr>
          <a:r>
            <a:rPr lang="ja-JP" altLang="en-US" sz="1200" b="0" i="0" u="none" strike="noStrike" baseline="0">
              <a:solidFill>
                <a:srgbClr val="000000"/>
              </a:solidFill>
              <a:latin typeface="ＭＳ Ｐゴシック"/>
              <a:ea typeface="ＭＳ Ｐゴシック"/>
            </a:rPr>
            <a:t>ヒント：</a:t>
          </a:r>
        </a:p>
        <a:p>
          <a:pPr algn="l" rtl="0">
            <a:lnSpc>
              <a:spcPts val="1400"/>
            </a:lnSpc>
            <a:defRPr sz="1000"/>
          </a:pPr>
          <a:endParaRPr lang="ja-JP" altLang="en-US" sz="1200" b="0" i="0" u="none" strike="noStrike" baseline="0">
            <a:solidFill>
              <a:srgbClr val="000000"/>
            </a:solidFill>
            <a:latin typeface="ＭＳ Ｐゴシック"/>
            <a:ea typeface="ＭＳ Ｐゴシック"/>
          </a:endParaRPr>
        </a:p>
        <a:p>
          <a:pPr algn="l" rtl="0">
            <a:lnSpc>
              <a:spcPts val="1400"/>
            </a:lnSpc>
            <a:defRPr sz="1000"/>
          </a:pPr>
          <a:r>
            <a:rPr lang="ja-JP" altLang="en-US" sz="1200" b="0" i="0" u="none" strike="noStrike" baseline="0">
              <a:solidFill>
                <a:srgbClr val="000000"/>
              </a:solidFill>
              <a:latin typeface="ＭＳ Ｐゴシック"/>
              <a:ea typeface="ＭＳ Ｐゴシック"/>
            </a:rPr>
            <a:t>セルＣ４７に設定される式は以下のどれでしょう？</a:t>
          </a:r>
        </a:p>
        <a:p>
          <a:pPr algn="l" rtl="0">
            <a:lnSpc>
              <a:spcPts val="1400"/>
            </a:lnSpc>
            <a:defRPr sz="1000"/>
          </a:pPr>
          <a:endParaRPr lang="ja-JP" altLang="en-US" sz="1200" b="0" i="0" u="none" strike="noStrike" baseline="0">
            <a:solidFill>
              <a:srgbClr val="000000"/>
            </a:solidFill>
            <a:latin typeface="ＭＳ Ｐゴシック"/>
            <a:ea typeface="ＭＳ Ｐゴシック"/>
          </a:endParaRPr>
        </a:p>
        <a:p>
          <a:pPr algn="l" rtl="0">
            <a:lnSpc>
              <a:spcPts val="1400"/>
            </a:lnSpc>
            <a:defRPr sz="1000"/>
          </a:pPr>
          <a:r>
            <a:rPr lang="ja-JP" altLang="en-US" sz="12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解答は７０行目</a:t>
          </a:r>
        </a:p>
      </xdr:txBody>
    </xdr:sp>
    <xdr:clientData/>
  </xdr:twoCellAnchor>
  <xdr:twoCellAnchor>
    <xdr:from>
      <xdr:col>3</xdr:col>
      <xdr:colOff>266700</xdr:colOff>
      <xdr:row>71</xdr:row>
      <xdr:rowOff>0</xdr:rowOff>
    </xdr:from>
    <xdr:to>
      <xdr:col>3</xdr:col>
      <xdr:colOff>4276725</xdr:colOff>
      <xdr:row>77</xdr:row>
      <xdr:rowOff>0</xdr:rowOff>
    </xdr:to>
    <xdr:sp macro="" textlink="">
      <xdr:nvSpPr>
        <xdr:cNvPr id="16388" name="AutoShape 4"/>
        <xdr:cNvSpPr>
          <a:spLocks noChangeArrowheads="1"/>
        </xdr:cNvSpPr>
      </xdr:nvSpPr>
      <xdr:spPr bwMode="auto">
        <a:xfrm>
          <a:off x="3209925" y="12458700"/>
          <a:ext cx="3133725" cy="1047750"/>
        </a:xfrm>
        <a:prstGeom prst="roundRect">
          <a:avLst>
            <a:gd name="adj" fmla="val 16667"/>
          </a:avLst>
        </a:prstGeom>
        <a:solidFill>
          <a:srgbClr val="DDFFDD"/>
        </a:solidFill>
        <a:ln w="9525">
          <a:solidFill>
            <a:srgbClr xmlns:mc="http://schemas.openxmlformats.org/markup-compatibility/2006" xmlns:a14="http://schemas.microsoft.com/office/drawing/2010/main" val="00FF00" mc:Ignorable="a14" a14:legacySpreadsheetColorIndex="11"/>
          </a:solidFill>
          <a:round/>
          <a:headEnd/>
          <a:tailEnd/>
        </a:ln>
      </xdr:spPr>
      <xdr:txBody>
        <a:bodyPr vertOverflow="clip" wrap="square" lIns="27432" tIns="18288" rIns="0" bIns="0" anchor="t" upright="1"/>
        <a:lstStyle/>
        <a:p>
          <a:pPr algn="l" rtl="0">
            <a:lnSpc>
              <a:spcPts val="1400"/>
            </a:lnSpc>
            <a:defRPr sz="1000"/>
          </a:pPr>
          <a:r>
            <a:rPr lang="ja-JP" altLang="en-US" sz="1200" b="0" i="0" u="none" strike="noStrike" baseline="0">
              <a:solidFill>
                <a:srgbClr val="000000"/>
              </a:solidFill>
              <a:latin typeface="ＭＳ Ｐゴシック"/>
              <a:ea typeface="ＭＳ Ｐゴシック"/>
            </a:rPr>
            <a:t>今日の日付、および生年月日から</a:t>
          </a:r>
          <a:r>
            <a:rPr lang="ja-JP" altLang="en-US" sz="1200" b="0" i="0" u="none" strike="noStrike" baseline="0">
              <a:solidFill>
                <a:srgbClr val="FF0000"/>
              </a:solidFill>
              <a:latin typeface="ＭＳ Ｐゴシック"/>
              <a:ea typeface="ＭＳ Ｐゴシック"/>
            </a:rPr>
            <a:t>月</a:t>
          </a:r>
          <a:r>
            <a:rPr lang="ja-JP" altLang="en-US" sz="1200" b="0" i="0" u="none" strike="noStrike" baseline="0">
              <a:solidFill>
                <a:srgbClr val="000000"/>
              </a:solidFill>
              <a:latin typeface="ＭＳ Ｐゴシック"/>
              <a:ea typeface="ＭＳ Ｐゴシック"/>
            </a:rPr>
            <a:t>だけを</a:t>
          </a:r>
          <a:r>
            <a:rPr lang="ja-JP" altLang="en-US" sz="1200" b="0" i="0" u="none" strike="noStrike" baseline="0">
              <a:solidFill>
                <a:srgbClr val="FF0000"/>
              </a:solidFill>
              <a:latin typeface="ＭＳ Ｐゴシック"/>
              <a:ea typeface="ＭＳ Ｐゴシック"/>
            </a:rPr>
            <a:t>ＭＯＮＴＨ</a:t>
          </a:r>
          <a:r>
            <a:rPr lang="ja-JP" altLang="en-US" sz="1200" b="0" i="0" u="none" strike="noStrike" baseline="0">
              <a:solidFill>
                <a:srgbClr val="000000"/>
              </a:solidFill>
              <a:latin typeface="ＭＳ Ｐゴシック"/>
              <a:ea typeface="ＭＳ Ｐゴシック"/>
            </a:rPr>
            <a:t>関数で取り出して、</a:t>
          </a:r>
          <a:r>
            <a:rPr lang="ja-JP" altLang="en-US" sz="1200" b="0" i="0" u="none" strike="noStrike" baseline="0">
              <a:solidFill>
                <a:srgbClr val="FF0000"/>
              </a:solidFill>
              <a:latin typeface="ＭＳ Ｐゴシック"/>
              <a:ea typeface="ＭＳ Ｐゴシック"/>
            </a:rPr>
            <a:t>ＩＦ</a:t>
          </a:r>
          <a:r>
            <a:rPr lang="ja-JP" altLang="en-US" sz="1200" b="0" i="0" u="none" strike="noStrike" baseline="0">
              <a:solidFill>
                <a:srgbClr val="000000"/>
              </a:solidFill>
              <a:latin typeface="ＭＳ Ｐゴシック"/>
              <a:ea typeface="ＭＳ Ｐゴシック"/>
            </a:rPr>
            <a:t>関数で比較する。</a:t>
          </a:r>
        </a:p>
        <a:p>
          <a:pPr algn="l" rtl="0">
            <a:lnSpc>
              <a:spcPts val="1400"/>
            </a:lnSpc>
            <a:defRPr sz="1000"/>
          </a:pPr>
          <a:endParaRPr lang="ja-JP" altLang="en-US" sz="1200" b="0" i="0" u="none" strike="noStrike" baseline="0">
            <a:solidFill>
              <a:srgbClr val="000000"/>
            </a:solidFill>
            <a:latin typeface="ＭＳ Ｐゴシック"/>
            <a:ea typeface="ＭＳ Ｐゴシック"/>
          </a:endParaRPr>
        </a:p>
        <a:p>
          <a:pPr algn="l" rtl="0">
            <a:lnSpc>
              <a:spcPts val="1400"/>
            </a:lnSpc>
            <a:defRPr sz="1000"/>
          </a:pPr>
          <a:r>
            <a:rPr lang="ja-JP" altLang="en-US" sz="1200" b="0" i="0" u="none" strike="noStrike" baseline="0">
              <a:solidFill>
                <a:srgbClr val="000000"/>
              </a:solidFill>
              <a:latin typeface="ＭＳ Ｐゴシック"/>
              <a:ea typeface="ＭＳ Ｐゴシック"/>
            </a:rPr>
            <a:t>よって答えは３</a:t>
          </a:r>
        </a:p>
      </xdr:txBody>
    </xdr:sp>
    <xdr:clientData/>
  </xdr:twoCellAnchor>
  <xdr:twoCellAnchor>
    <xdr:from>
      <xdr:col>0</xdr:col>
      <xdr:colOff>771525</xdr:colOff>
      <xdr:row>78</xdr:row>
      <xdr:rowOff>142875</xdr:rowOff>
    </xdr:from>
    <xdr:to>
      <xdr:col>3</xdr:col>
      <xdr:colOff>1838325</xdr:colOff>
      <xdr:row>81</xdr:row>
      <xdr:rowOff>0</xdr:rowOff>
    </xdr:to>
    <xdr:sp macro="" textlink="">
      <xdr:nvSpPr>
        <xdr:cNvPr id="16389" name="AutoShape 5"/>
        <xdr:cNvSpPr>
          <a:spLocks noChangeArrowheads="1"/>
        </xdr:cNvSpPr>
      </xdr:nvSpPr>
      <xdr:spPr bwMode="auto">
        <a:xfrm>
          <a:off x="771525" y="13820775"/>
          <a:ext cx="4010025" cy="371475"/>
        </a:xfrm>
        <a:prstGeom prst="wedgeRoundRectCallout">
          <a:avLst>
            <a:gd name="adj1" fmla="val -19556"/>
            <a:gd name="adj2" fmla="val -139745"/>
            <a:gd name="adj3"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US" altLang="ja-JP" sz="1400" b="0" i="0" u="none" strike="noStrike" baseline="0">
              <a:solidFill>
                <a:srgbClr val="0000FF"/>
              </a:solidFill>
              <a:latin typeface="ＭＳ Ｐゴシック"/>
              <a:ea typeface="ＭＳ Ｐゴシック"/>
            </a:rPr>
            <a:t>=IF(MONTH(C$70)=MONTH(B77),"○","")</a:t>
          </a:r>
        </a:p>
      </xdr:txBody>
    </xdr:sp>
    <xdr:clientData/>
  </xdr:twoCellAnchor>
  <xdr:twoCellAnchor>
    <xdr:from>
      <xdr:col>3</xdr:col>
      <xdr:colOff>76200</xdr:colOff>
      <xdr:row>1</xdr:row>
      <xdr:rowOff>0</xdr:rowOff>
    </xdr:from>
    <xdr:to>
      <xdr:col>5</xdr:col>
      <xdr:colOff>371475</xdr:colOff>
      <xdr:row>6</xdr:row>
      <xdr:rowOff>28575</xdr:rowOff>
    </xdr:to>
    <xdr:grpSp>
      <xdr:nvGrpSpPr>
        <xdr:cNvPr id="16396" name="Group 12"/>
        <xdr:cNvGrpSpPr>
          <a:grpSpLocks/>
        </xdr:cNvGrpSpPr>
      </xdr:nvGrpSpPr>
      <xdr:grpSpPr bwMode="auto">
        <a:xfrm>
          <a:off x="2727960" y="167640"/>
          <a:ext cx="3968115" cy="958215"/>
          <a:chOff x="317" y="18"/>
          <a:chExt cx="460" cy="102"/>
        </a:xfrm>
      </xdr:grpSpPr>
      <xdr:sp macro="" textlink="">
        <xdr:nvSpPr>
          <xdr:cNvPr id="16385" name="AutoShape 1"/>
          <xdr:cNvSpPr>
            <a:spLocks noChangeArrowheads="1"/>
          </xdr:cNvSpPr>
        </xdr:nvSpPr>
        <xdr:spPr bwMode="auto">
          <a:xfrm>
            <a:off x="317" y="18"/>
            <a:ext cx="460" cy="102"/>
          </a:xfrm>
          <a:prstGeom prst="roundRect">
            <a:avLst>
              <a:gd name="adj" fmla="val 16667"/>
            </a:avLst>
          </a:prstGeom>
          <a:solidFill>
            <a:srgbClr val="DDFFDD"/>
          </a:solidFill>
          <a:ln w="9525">
            <a:solidFill>
              <a:srgbClr xmlns:mc="http://schemas.openxmlformats.org/markup-compatibility/2006" xmlns:a14="http://schemas.microsoft.com/office/drawing/2010/main" val="00FF00" mc:Ignorable="a14" a14:legacySpreadsheetColorIndex="11"/>
            </a:solidFill>
            <a:round/>
            <a:headEnd/>
            <a:tailEnd/>
          </a:ln>
        </xdr:spPr>
        <xdr:txBody>
          <a:bodyPr vertOverflow="clip" wrap="square" lIns="27432" tIns="18288" rIns="0" bIns="0" anchor="t" upright="1"/>
          <a:lstStyle/>
          <a:p>
            <a:pPr algn="l" rtl="0">
              <a:lnSpc>
                <a:spcPts val="1400"/>
              </a:lnSpc>
              <a:defRPr sz="1000"/>
            </a:pPr>
            <a:r>
              <a:rPr lang="ja-JP" altLang="en-US" sz="1200" b="0" i="0" u="none" strike="noStrike" baseline="0">
                <a:solidFill>
                  <a:srgbClr val="000000"/>
                </a:solidFill>
                <a:latin typeface="ＭＳ Ｐゴシック"/>
                <a:ea typeface="ＭＳ Ｐゴシック"/>
              </a:rPr>
              <a:t>顧客の生年月日を記入した一覧表があります。今月が誕生月のお客様に「○」と自動表示させる式をセルＣ列に設定して下さい。</a:t>
            </a:r>
          </a:p>
          <a:p>
            <a:pPr algn="l" rtl="0">
              <a:lnSpc>
                <a:spcPts val="1300"/>
              </a:lnSpc>
              <a:defRPr sz="1000"/>
            </a:pPr>
            <a:endParaRPr lang="ja-JP" altLang="en-US" sz="1200" b="0" i="0" u="none" strike="noStrike" baseline="0">
              <a:solidFill>
                <a:srgbClr val="000000"/>
              </a:solidFill>
              <a:latin typeface="ＭＳ Ｐゴシック"/>
              <a:ea typeface="ＭＳ Ｐゴシック"/>
            </a:endParaRPr>
          </a:p>
        </xdr:txBody>
      </xdr:sp>
      <xdr:sp macro="" textlink="">
        <xdr:nvSpPr>
          <xdr:cNvPr id="16395" name="AutoShape 11">
            <a:hlinkClick xmlns:r="http://schemas.openxmlformats.org/officeDocument/2006/relationships" r:id="rId1"/>
          </xdr:cNvPr>
          <xdr:cNvSpPr>
            <a:spLocks noChangeArrowheads="1"/>
          </xdr:cNvSpPr>
        </xdr:nvSpPr>
        <xdr:spPr bwMode="auto">
          <a:xfrm>
            <a:off x="678" y="74"/>
            <a:ext cx="73" cy="32"/>
          </a:xfrm>
          <a:prstGeom prst="bevel">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r>
              <a:rPr lang="ja-JP" altLang="en-US" sz="1200" b="0" i="0" u="sng" strike="noStrike" baseline="0">
                <a:solidFill>
                  <a:srgbClr val="0000FF"/>
                </a:solidFill>
                <a:latin typeface="ＭＳ Ｐゴシック"/>
                <a:ea typeface="ＭＳ Ｐゴシック"/>
              </a:rPr>
              <a:t>次へ</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447675</xdr:colOff>
      <xdr:row>10</xdr:row>
      <xdr:rowOff>38100</xdr:rowOff>
    </xdr:from>
    <xdr:to>
      <xdr:col>9</xdr:col>
      <xdr:colOff>342900</xdr:colOff>
      <xdr:row>21</xdr:row>
      <xdr:rowOff>95250</xdr:rowOff>
    </xdr:to>
    <xdr:pic>
      <xdr:nvPicPr>
        <xdr:cNvPr id="19458" name="Picture 2" descr="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2825" y="1809750"/>
          <a:ext cx="2638425" cy="1962150"/>
        </a:xfrm>
        <a:prstGeom prst="rect">
          <a:avLst/>
        </a:prstGeom>
        <a:noFill/>
        <a:ln w="9525">
          <a:solidFill>
            <a:srgbClr xmlns:mc="http://schemas.openxmlformats.org/markup-compatibility/2006" xmlns:a14="http://schemas.microsoft.com/office/drawing/2010/main" val="FFFFFF" mc:Ignorable="a14" a14:legacySpreadsheetColorIndex="9"/>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285750</xdr:colOff>
      <xdr:row>11</xdr:row>
      <xdr:rowOff>9525</xdr:rowOff>
    </xdr:from>
    <xdr:to>
      <xdr:col>13</xdr:col>
      <xdr:colOff>171450</xdr:colOff>
      <xdr:row>21</xdr:row>
      <xdr:rowOff>142875</xdr:rowOff>
    </xdr:to>
    <xdr:pic>
      <xdr:nvPicPr>
        <xdr:cNvPr id="19459" name="Picture 3" descr="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34100" y="1952625"/>
          <a:ext cx="2628900" cy="1866900"/>
        </a:xfrm>
        <a:prstGeom prst="rect">
          <a:avLst/>
        </a:prstGeom>
        <a:noFill/>
        <a:ln w="9525">
          <a:solidFill>
            <a:srgbClr xmlns:mc="http://schemas.openxmlformats.org/markup-compatibility/2006" xmlns:a14="http://schemas.microsoft.com/office/drawing/2010/main" val="FFFFFF" mc:Ignorable="a14" a14:legacySpreadsheetColorIndex="9"/>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142875</xdr:colOff>
      <xdr:row>44</xdr:row>
      <xdr:rowOff>152400</xdr:rowOff>
    </xdr:from>
    <xdr:to>
      <xdr:col>11</xdr:col>
      <xdr:colOff>47625</xdr:colOff>
      <xdr:row>48</xdr:row>
      <xdr:rowOff>161925</xdr:rowOff>
    </xdr:to>
    <xdr:sp macro="" textlink="">
      <xdr:nvSpPr>
        <xdr:cNvPr id="19461" name="AutoShape 5"/>
        <xdr:cNvSpPr>
          <a:spLocks noChangeArrowheads="1"/>
        </xdr:cNvSpPr>
      </xdr:nvSpPr>
      <xdr:spPr bwMode="auto">
        <a:xfrm>
          <a:off x="3248025" y="7772400"/>
          <a:ext cx="4019550" cy="7143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808080" mc:Ignorable="a14" a14:legacySpreadsheetColorIndex="23"/>
          </a:solidFill>
          <a:round/>
          <a:headEnd/>
          <a:tailEnd/>
        </a:ln>
        <a:effectLst>
          <a:outerShdw dist="35921" dir="2700000" algn="ctr" rotWithShape="0">
            <a:srgbClr val="808080"/>
          </a:outerShdw>
        </a:effec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左図のような計算式を設定します。</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en-US" altLang="ja-JP" sz="1100" b="0" i="0" u="none" strike="noStrike" baseline="0">
              <a:solidFill>
                <a:srgbClr val="0000FF"/>
              </a:solidFill>
              <a:latin typeface="ＭＳ Ｐゴシック"/>
              <a:ea typeface="ＭＳ Ｐゴシック"/>
            </a:rPr>
            <a:t>=</a:t>
          </a:r>
          <a:r>
            <a:rPr lang="en-US" altLang="ja-JP" sz="1100" b="0" i="0" u="none" strike="noStrike" baseline="0">
              <a:solidFill>
                <a:srgbClr val="FF0000"/>
              </a:solidFill>
              <a:latin typeface="ＭＳ Ｐゴシック"/>
              <a:ea typeface="ＭＳ Ｐゴシック"/>
            </a:rPr>
            <a:t>IF</a:t>
          </a:r>
          <a:r>
            <a:rPr lang="en-US" altLang="ja-JP" sz="1100" b="0" i="0" u="none" strike="noStrike" baseline="0">
              <a:solidFill>
                <a:srgbClr val="0000FF"/>
              </a:solidFill>
              <a:latin typeface="ＭＳ Ｐゴシック"/>
              <a:ea typeface="ＭＳ Ｐゴシック"/>
            </a:rPr>
            <a:t>(E47="</a:t>
          </a:r>
          <a:r>
            <a:rPr lang="ja-JP" altLang="en-US" sz="1100" b="0" i="0" u="none" strike="noStrike" baseline="0">
              <a:solidFill>
                <a:srgbClr val="0000FF"/>
              </a:solidFill>
              <a:latin typeface="ＭＳ Ｐゴシック"/>
              <a:ea typeface="ＭＳ Ｐゴシック"/>
            </a:rPr>
            <a:t>合計</a:t>
          </a:r>
          <a:r>
            <a:rPr lang="en-US" altLang="ja-JP" sz="1100" b="0" i="0" u="none" strike="noStrike" baseline="0">
              <a:solidFill>
                <a:srgbClr val="0000FF"/>
              </a:solidFill>
              <a:latin typeface="ＭＳ Ｐゴシック"/>
              <a:ea typeface="ＭＳ Ｐゴシック"/>
            </a:rPr>
            <a:t>",</a:t>
          </a:r>
          <a:r>
            <a:rPr lang="en-US" altLang="ja-JP" sz="1100" b="0" i="0" u="none" strike="noStrike" baseline="0">
              <a:solidFill>
                <a:srgbClr val="FF0000"/>
              </a:solidFill>
              <a:latin typeface="ＭＳ Ｐゴシック"/>
              <a:ea typeface="ＭＳ Ｐゴシック"/>
            </a:rPr>
            <a:t>SUM</a:t>
          </a:r>
          <a:r>
            <a:rPr lang="en-US" altLang="ja-JP" sz="1100" b="0" i="0" u="none" strike="noStrike" baseline="0">
              <a:solidFill>
                <a:srgbClr val="0000FF"/>
              </a:solidFill>
              <a:latin typeface="ＭＳ Ｐゴシック"/>
              <a:ea typeface="ＭＳ Ｐゴシック"/>
            </a:rPr>
            <a:t>(C48:D48),</a:t>
          </a:r>
          <a:r>
            <a:rPr lang="en-US" altLang="ja-JP" sz="1100" b="0" i="0" u="none" strike="noStrike" baseline="0">
              <a:solidFill>
                <a:srgbClr val="FF0000"/>
              </a:solidFill>
              <a:latin typeface="ＭＳ Ｐゴシック"/>
              <a:ea typeface="ＭＳ Ｐゴシック"/>
            </a:rPr>
            <a:t>AVERAGE</a:t>
          </a:r>
          <a:r>
            <a:rPr lang="en-US" altLang="ja-JP" sz="1100" b="0" i="0" u="none" strike="noStrike" baseline="0">
              <a:solidFill>
                <a:srgbClr val="0000FF"/>
              </a:solidFill>
              <a:latin typeface="ＭＳ Ｐゴシック"/>
              <a:ea typeface="ＭＳ Ｐゴシック"/>
            </a:rPr>
            <a:t>(C48:D48))</a:t>
          </a:r>
        </a:p>
      </xdr:txBody>
    </xdr:sp>
    <xdr:clientData/>
  </xdr:twoCellAnchor>
  <xdr:twoCellAnchor>
    <xdr:from>
      <xdr:col>5</xdr:col>
      <xdr:colOff>361950</xdr:colOff>
      <xdr:row>2</xdr:row>
      <xdr:rowOff>57150</xdr:rowOff>
    </xdr:from>
    <xdr:to>
      <xdr:col>10</xdr:col>
      <xdr:colOff>171450</xdr:colOff>
      <xdr:row>9</xdr:row>
      <xdr:rowOff>66675</xdr:rowOff>
    </xdr:to>
    <xdr:sp macro="" textlink="">
      <xdr:nvSpPr>
        <xdr:cNvPr id="19457" name="AutoShape 1"/>
        <xdr:cNvSpPr>
          <a:spLocks noChangeArrowheads="1"/>
        </xdr:cNvSpPr>
      </xdr:nvSpPr>
      <xdr:spPr bwMode="auto">
        <a:xfrm>
          <a:off x="3467100" y="400050"/>
          <a:ext cx="3238500" cy="12668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808080" mc:Ignorable="a14" a14:legacySpreadsheetColorIndex="23"/>
          </a:solidFill>
          <a:round/>
          <a:headEnd/>
          <a:tailEnd/>
        </a:ln>
        <a:effectLst>
          <a:outerShdw dist="35921" dir="2700000" algn="ctr" rotWithShape="0">
            <a:srgbClr val="808080"/>
          </a:outerShdw>
        </a:effec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赤枠のセル</a:t>
          </a:r>
          <a:r>
            <a:rPr lang="en-US" altLang="ja-JP" sz="1100" b="0" i="0" u="none" strike="noStrike" baseline="0">
              <a:solidFill>
                <a:srgbClr val="0000FF"/>
              </a:solidFill>
              <a:latin typeface="ＭＳ Ｐゴシック"/>
              <a:ea typeface="ＭＳ Ｐゴシック"/>
            </a:rPr>
            <a:t>E5:E18</a:t>
          </a:r>
          <a:r>
            <a:rPr lang="ja-JP" altLang="en-US" sz="1100" b="0" i="0" u="none" strike="noStrike" baseline="0">
              <a:solidFill>
                <a:srgbClr val="000000"/>
              </a:solidFill>
              <a:latin typeface="ＭＳ Ｐゴシック"/>
              <a:ea typeface="ＭＳ Ｐゴシック"/>
            </a:rPr>
            <a:t>に計算式を設定します。</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設定する計算式は、</a:t>
          </a:r>
        </a:p>
        <a:p>
          <a:pPr algn="l" rtl="0">
            <a:lnSpc>
              <a:spcPts val="1300"/>
            </a:lnSpc>
            <a:defRPr sz="1000"/>
          </a:pPr>
          <a:r>
            <a:rPr lang="ja-JP" altLang="en-US" sz="1100" b="0" i="0" u="none" strike="noStrike" baseline="0">
              <a:solidFill>
                <a:srgbClr val="000000"/>
              </a:solidFill>
              <a:latin typeface="ＭＳ Ｐゴシック"/>
              <a:ea typeface="ＭＳ Ｐゴシック"/>
            </a:rPr>
            <a:t>セル</a:t>
          </a:r>
          <a:r>
            <a:rPr lang="en-US" altLang="ja-JP" sz="1100" b="0" i="0" u="none" strike="noStrike" baseline="0">
              <a:solidFill>
                <a:srgbClr val="FF0000"/>
              </a:solidFill>
              <a:latin typeface="ＭＳ Ｐゴシック"/>
              <a:ea typeface="ＭＳ Ｐゴシック"/>
            </a:rPr>
            <a:t>E4</a:t>
          </a:r>
          <a:r>
            <a:rPr lang="ja-JP" altLang="en-US" sz="1100" b="0" i="0" u="none" strike="noStrike" baseline="0">
              <a:solidFill>
                <a:srgbClr val="000000"/>
              </a:solidFill>
              <a:latin typeface="ＭＳ Ｐゴシック"/>
              <a:ea typeface="ＭＳ Ｐゴシック"/>
            </a:rPr>
            <a:t>が“</a:t>
          </a:r>
          <a:r>
            <a:rPr lang="ja-JP" altLang="en-US" sz="1100" b="0" i="0" u="none" strike="noStrike" baseline="0">
              <a:solidFill>
                <a:srgbClr val="0000FF"/>
              </a:solidFill>
              <a:latin typeface="ＭＳ Ｐゴシック"/>
              <a:ea typeface="ＭＳ Ｐゴシック"/>
            </a:rPr>
            <a:t>合計</a:t>
          </a:r>
          <a:r>
            <a:rPr lang="ja-JP" altLang="en-US" sz="1100" b="0" i="0" u="none" strike="noStrike" baseline="0">
              <a:solidFill>
                <a:srgbClr val="000000"/>
              </a:solidFill>
              <a:latin typeface="ＭＳ Ｐゴシック"/>
              <a:ea typeface="ＭＳ Ｐゴシック"/>
            </a:rPr>
            <a:t>”であれば筆記と実技の</a:t>
          </a:r>
          <a:r>
            <a:rPr lang="ja-JP" altLang="en-US" sz="1100" b="1" i="0" u="none" strike="noStrike" baseline="0">
              <a:solidFill>
                <a:srgbClr val="0000FF"/>
              </a:solidFill>
              <a:latin typeface="ＭＳ Ｐゴシック"/>
              <a:ea typeface="ＭＳ Ｐゴシック"/>
            </a:rPr>
            <a:t>合計</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en-US" altLang="ja-JP" sz="1100" b="0" i="0" u="none" strike="noStrike" baseline="0">
              <a:solidFill>
                <a:srgbClr val="000000"/>
              </a:solidFill>
              <a:latin typeface="ＭＳ Ｐゴシック"/>
              <a:ea typeface="ＭＳ Ｐゴシック"/>
            </a:rPr>
            <a:t>" </a:t>
          </a:r>
          <a:r>
            <a:rPr lang="ja-JP" altLang="en-US" sz="1100" b="0" i="0" u="none" strike="noStrike" baseline="0">
              <a:solidFill>
                <a:srgbClr val="000000"/>
              </a:solidFill>
              <a:latin typeface="ＭＳ Ｐゴシック"/>
              <a:ea typeface="ＭＳ Ｐゴシック"/>
            </a:rPr>
            <a:t>　　それ以外であれば　　</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00FF"/>
              </a:solidFill>
              <a:latin typeface="ＭＳ Ｐゴシック"/>
              <a:ea typeface="ＭＳ Ｐゴシック"/>
            </a:rPr>
            <a:t>平均</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とします。下図のようになれば</a:t>
          </a:r>
          <a:r>
            <a:rPr lang="en-US" altLang="ja-JP" sz="1100" b="0" i="0" u="none" strike="noStrike" baseline="0">
              <a:solidFill>
                <a:srgbClr val="000000"/>
              </a:solidFill>
              <a:latin typeface="ＭＳ Ｐゴシック"/>
              <a:ea typeface="ＭＳ Ｐゴシック"/>
            </a:rPr>
            <a:t>OK.</a:t>
          </a:r>
          <a:r>
            <a:rPr lang="ja-JP" altLang="en-US" sz="1100" b="0" i="0" u="none" strike="noStrike" baseline="0">
              <a:solidFill>
                <a:srgbClr val="000000"/>
              </a:solidFill>
              <a:latin typeface="ＭＳ Ｐゴシック"/>
              <a:ea typeface="ＭＳ Ｐゴシック"/>
            </a:rPr>
            <a:t>。</a:t>
          </a:r>
        </a:p>
      </xdr:txBody>
    </xdr:sp>
    <xdr:clientData/>
  </xdr:twoCellAnchor>
  <xdr:twoCellAnchor editAs="oneCell">
    <xdr:from>
      <xdr:col>5</xdr:col>
      <xdr:colOff>85725</xdr:colOff>
      <xdr:row>49</xdr:row>
      <xdr:rowOff>47625</xdr:rowOff>
    </xdr:from>
    <xdr:to>
      <xdr:col>11</xdr:col>
      <xdr:colOff>476250</xdr:colOff>
      <xdr:row>64</xdr:row>
      <xdr:rowOff>19050</xdr:rowOff>
    </xdr:to>
    <xdr:pic>
      <xdr:nvPicPr>
        <xdr:cNvPr id="19465" name="Picture 9"/>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90875" y="8543925"/>
          <a:ext cx="4505325" cy="25431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k:@MSITStore:C:\Program%20Files\Microsoft%20Office\Office\1041\xlmain9.chm::/html/xlrefUnderstandinghowOperatorswork.ht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I41"/>
  <sheetViews>
    <sheetView showGridLines="0" tabSelected="1" workbookViewId="0"/>
  </sheetViews>
  <sheetFormatPr defaultColWidth="9" defaultRowHeight="13.2"/>
  <cols>
    <col min="1" max="1" width="9" style="5"/>
    <col min="2" max="2" width="47.109375" style="163" customWidth="1"/>
    <col min="3" max="3" width="9.77734375" style="5" customWidth="1"/>
    <col min="4" max="16384" width="9" style="5"/>
  </cols>
  <sheetData>
    <row r="2" spans="2:9" ht="28.2">
      <c r="B2" s="155" t="s">
        <v>62</v>
      </c>
    </row>
    <row r="4" spans="2:9" ht="27" customHeight="1">
      <c r="B4" s="164" t="s">
        <v>65</v>
      </c>
      <c r="C4" s="164"/>
      <c r="D4" s="164"/>
      <c r="E4" s="164"/>
      <c r="F4" s="164"/>
      <c r="G4" s="164"/>
      <c r="H4" s="164"/>
      <c r="I4" s="164"/>
    </row>
    <row r="6" spans="2:9">
      <c r="B6" s="165" t="s">
        <v>63</v>
      </c>
      <c r="C6" s="166"/>
      <c r="D6" s="166"/>
      <c r="E6" s="166"/>
      <c r="F6" s="166"/>
      <c r="G6" s="166"/>
      <c r="H6" s="166"/>
      <c r="I6" s="166"/>
    </row>
    <row r="8" spans="2:9">
      <c r="B8" s="156" t="s">
        <v>64</v>
      </c>
    </row>
    <row r="10" spans="2:9" ht="19.2">
      <c r="B10" s="157" t="s">
        <v>69</v>
      </c>
    </row>
    <row r="12" spans="2:9" ht="53.25" customHeight="1">
      <c r="B12" s="167" t="s">
        <v>66</v>
      </c>
      <c r="C12" s="165"/>
      <c r="D12" s="165"/>
      <c r="E12" s="165"/>
      <c r="F12" s="165"/>
      <c r="G12" s="165"/>
      <c r="H12" s="165"/>
      <c r="I12" s="165"/>
    </row>
    <row r="14" spans="2:9">
      <c r="B14" s="168" t="s">
        <v>67</v>
      </c>
      <c r="C14" s="168"/>
      <c r="D14" s="168"/>
      <c r="E14" s="168"/>
      <c r="F14" s="168"/>
      <c r="G14" s="168"/>
      <c r="H14" s="168"/>
      <c r="I14" s="168"/>
    </row>
    <row r="16" spans="2:9">
      <c r="B16" s="168" t="s">
        <v>68</v>
      </c>
      <c r="C16" s="168"/>
      <c r="D16" s="168"/>
      <c r="E16" s="168"/>
      <c r="F16" s="168"/>
      <c r="G16" s="168"/>
      <c r="H16" s="168"/>
      <c r="I16" s="168"/>
    </row>
    <row r="18" spans="2:5">
      <c r="B18" s="156"/>
    </row>
    <row r="20" spans="2:5" ht="46.5" customHeight="1">
      <c r="B20" s="165"/>
      <c r="C20" s="165"/>
      <c r="D20" s="165"/>
      <c r="E20" s="165"/>
    </row>
    <row r="22" spans="2:5" ht="18">
      <c r="B22" s="158"/>
    </row>
    <row r="24" spans="2:5" ht="48.75" customHeight="1">
      <c r="B24" s="165"/>
      <c r="C24" s="165"/>
      <c r="D24" s="165"/>
      <c r="E24" s="165"/>
    </row>
    <row r="26" spans="2:5" ht="18">
      <c r="B26" s="158"/>
    </row>
    <row r="30" spans="2:5">
      <c r="B30" s="159"/>
      <c r="C30" s="160"/>
    </row>
    <row r="31" spans="2:5">
      <c r="B31" s="161"/>
      <c r="C31" s="162"/>
    </row>
    <row r="32" spans="2:5">
      <c r="B32" s="161"/>
      <c r="C32" s="162"/>
    </row>
    <row r="33" spans="2:8">
      <c r="B33" s="161"/>
      <c r="C33" s="162"/>
    </row>
    <row r="34" spans="2:8">
      <c r="B34" s="161"/>
      <c r="C34" s="162"/>
    </row>
    <row r="35" spans="2:8">
      <c r="B35" s="161"/>
      <c r="C35" s="162"/>
    </row>
    <row r="37" spans="2:8" ht="16.5" customHeight="1">
      <c r="B37" s="165"/>
      <c r="C37" s="165"/>
      <c r="D37" s="165"/>
    </row>
    <row r="39" spans="2:8" ht="18">
      <c r="B39" s="169"/>
      <c r="C39" s="169"/>
      <c r="D39" s="169"/>
      <c r="E39" s="169"/>
      <c r="F39" s="169"/>
      <c r="G39" s="169"/>
      <c r="H39" s="169"/>
    </row>
    <row r="41" spans="2:8" ht="54.75" customHeight="1">
      <c r="B41" s="165"/>
      <c r="C41" s="165"/>
    </row>
  </sheetData>
  <mergeCells count="10">
    <mergeCell ref="B4:I4"/>
    <mergeCell ref="B6:I6"/>
    <mergeCell ref="B12:I12"/>
    <mergeCell ref="B41:C41"/>
    <mergeCell ref="B14:I14"/>
    <mergeCell ref="B16:I16"/>
    <mergeCell ref="B20:E20"/>
    <mergeCell ref="B39:H39"/>
    <mergeCell ref="B37:D37"/>
    <mergeCell ref="B24:E24"/>
  </mergeCells>
  <phoneticPr fontId="2"/>
  <hyperlinks>
    <hyperlink ref="B12" r:id="rId1" display="mk:@MSITStore:C:\Program Files\Microsoft Office\Office\1041\xlmain9.chm::/html/xlrefUnderstandinghowOperatorswork.htm"/>
  </hyperlinks>
  <pageMargins left="0.75" right="0.75" top="1" bottom="1" header="0.51200000000000001" footer="0.5120000000000000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3"/>
  </sheetPr>
  <dimension ref="B1:F64"/>
  <sheetViews>
    <sheetView showGridLines="0" workbookViewId="0"/>
  </sheetViews>
  <sheetFormatPr defaultColWidth="9" defaultRowHeight="13.2"/>
  <cols>
    <col min="1" max="1" width="2.6640625" style="22" customWidth="1"/>
    <col min="2" max="2" width="16.6640625" style="22" customWidth="1"/>
    <col min="3" max="3" width="15.6640625" style="22" customWidth="1"/>
    <col min="4" max="4" width="10.6640625" style="22" customWidth="1"/>
    <col min="5" max="5" width="15.6640625" style="22" customWidth="1"/>
    <col min="6" max="6" width="11.6640625" style="22" customWidth="1"/>
    <col min="7" max="7" width="15.6640625" style="22" customWidth="1"/>
    <col min="8" max="16384" width="9" style="22"/>
  </cols>
  <sheetData>
    <row r="1" spans="2:6" ht="19.2">
      <c r="B1" s="23" t="s">
        <v>47</v>
      </c>
    </row>
    <row r="3" spans="2:6">
      <c r="B3" s="24" t="s">
        <v>48</v>
      </c>
      <c r="C3" s="176" t="s">
        <v>49</v>
      </c>
      <c r="D3" s="176"/>
      <c r="E3" s="176"/>
    </row>
    <row r="4" spans="2:6">
      <c r="B4" s="25" t="s">
        <v>50</v>
      </c>
      <c r="C4" s="26"/>
      <c r="D4" s="27" t="s">
        <v>51</v>
      </c>
      <c r="E4" s="28"/>
    </row>
    <row r="5" spans="2:6">
      <c r="B5" s="25" t="s">
        <v>52</v>
      </c>
      <c r="C5" s="29"/>
      <c r="D5" s="27" t="s">
        <v>53</v>
      </c>
      <c r="E5" s="30"/>
    </row>
    <row r="6" spans="2:6">
      <c r="B6" s="25" t="s">
        <v>54</v>
      </c>
      <c r="C6" s="177"/>
      <c r="D6" s="177"/>
      <c r="E6" s="177"/>
    </row>
    <row r="7" spans="2:6">
      <c r="B7" s="25" t="s">
        <v>55</v>
      </c>
      <c r="C7" s="178"/>
      <c r="D7" s="178"/>
      <c r="E7" s="178"/>
    </row>
    <row r="8" spans="2:6">
      <c r="B8" s="25" t="s">
        <v>56</v>
      </c>
      <c r="C8" s="170"/>
      <c r="D8" s="171"/>
      <c r="E8" s="172"/>
    </row>
    <row r="9" spans="2:6">
      <c r="B9" s="25" t="s">
        <v>57</v>
      </c>
      <c r="C9" s="170">
        <f>COUNTA(D13:D24)</f>
        <v>12</v>
      </c>
      <c r="D9" s="171"/>
      <c r="E9" s="172"/>
    </row>
    <row r="10" spans="2:6">
      <c r="B10" s="25" t="s">
        <v>58</v>
      </c>
      <c r="C10" s="173">
        <f>SUM(E13:E24)</f>
        <v>840000</v>
      </c>
      <c r="D10" s="174"/>
      <c r="E10" s="175"/>
    </row>
    <row r="11" spans="2:6">
      <c r="D11" s="31"/>
      <c r="E11" s="31"/>
    </row>
    <row r="12" spans="2:6" ht="13.8" thickBot="1">
      <c r="B12" s="25" t="s">
        <v>52</v>
      </c>
      <c r="C12" s="32" t="s">
        <v>50</v>
      </c>
      <c r="D12" s="32" t="s">
        <v>59</v>
      </c>
      <c r="E12" s="82" t="s">
        <v>60</v>
      </c>
    </row>
    <row r="13" spans="2:6" ht="13.8" thickTop="1">
      <c r="B13" s="33">
        <v>36629</v>
      </c>
      <c r="C13" s="34">
        <v>168000</v>
      </c>
      <c r="D13" s="78">
        <v>5</v>
      </c>
      <c r="E13" s="81">
        <f>C13*D13</f>
        <v>840000</v>
      </c>
      <c r="F13" s="76"/>
    </row>
    <row r="14" spans="2:6">
      <c r="B14" s="33">
        <v>36636</v>
      </c>
      <c r="C14" s="34">
        <v>208000</v>
      </c>
      <c r="D14" s="78">
        <v>3</v>
      </c>
      <c r="E14" s="77"/>
      <c r="F14" s="76"/>
    </row>
    <row r="15" spans="2:6">
      <c r="B15" s="33">
        <v>36643</v>
      </c>
      <c r="C15" s="34">
        <v>298000</v>
      </c>
      <c r="D15" s="79">
        <v>15</v>
      </c>
      <c r="E15" s="77"/>
      <c r="F15" s="76"/>
    </row>
    <row r="16" spans="2:6">
      <c r="B16" s="33">
        <v>36649</v>
      </c>
      <c r="C16" s="34">
        <v>298000</v>
      </c>
      <c r="D16" s="78">
        <v>16</v>
      </c>
      <c r="E16" s="77"/>
      <c r="F16" s="76"/>
    </row>
    <row r="17" spans="2:6">
      <c r="B17" s="33">
        <v>36656</v>
      </c>
      <c r="C17" s="34">
        <v>208000</v>
      </c>
      <c r="D17" s="80" t="s">
        <v>61</v>
      </c>
      <c r="E17" s="77"/>
      <c r="F17" s="76"/>
    </row>
    <row r="18" spans="2:6">
      <c r="B18" s="33">
        <v>36663</v>
      </c>
      <c r="C18" s="34">
        <v>178000</v>
      </c>
      <c r="D18" s="78">
        <v>3</v>
      </c>
      <c r="E18" s="77"/>
      <c r="F18" s="76"/>
    </row>
    <row r="19" spans="2:6">
      <c r="B19" s="33">
        <v>36670</v>
      </c>
      <c r="C19" s="34">
        <v>178000</v>
      </c>
      <c r="D19" s="78">
        <v>6</v>
      </c>
      <c r="E19" s="77"/>
      <c r="F19" s="76"/>
    </row>
    <row r="20" spans="2:6">
      <c r="B20" s="33">
        <v>36679</v>
      </c>
      <c r="C20" s="34">
        <v>188000</v>
      </c>
      <c r="D20" s="78">
        <v>10</v>
      </c>
      <c r="E20" s="77"/>
      <c r="F20" s="76"/>
    </row>
    <row r="21" spans="2:6">
      <c r="B21" s="33">
        <v>36686</v>
      </c>
      <c r="C21" s="34">
        <v>188000</v>
      </c>
      <c r="D21" s="78">
        <v>2</v>
      </c>
      <c r="E21" s="77"/>
      <c r="F21" s="76"/>
    </row>
    <row r="22" spans="2:6">
      <c r="B22" s="33">
        <v>36693</v>
      </c>
      <c r="C22" s="34">
        <v>198000</v>
      </c>
      <c r="D22" s="80" t="s">
        <v>61</v>
      </c>
      <c r="E22" s="77"/>
      <c r="F22" s="76"/>
    </row>
    <row r="23" spans="2:6">
      <c r="B23" s="33">
        <v>36700</v>
      </c>
      <c r="C23" s="34">
        <v>198000</v>
      </c>
      <c r="D23" s="79">
        <v>11</v>
      </c>
      <c r="E23" s="77"/>
      <c r="F23" s="76"/>
    </row>
    <row r="24" spans="2:6" ht="13.8" thickBot="1">
      <c r="B24" s="33">
        <v>36707</v>
      </c>
      <c r="C24" s="34">
        <v>208000</v>
      </c>
      <c r="D24" s="78">
        <v>1</v>
      </c>
      <c r="E24" s="83"/>
      <c r="F24" s="76"/>
    </row>
    <row r="25" spans="2:6" ht="13.8" thickTop="1">
      <c r="E25" s="84"/>
    </row>
    <row r="40" spans="2:5" ht="19.2">
      <c r="B40" s="23" t="s">
        <v>47</v>
      </c>
    </row>
    <row r="42" spans="2:5">
      <c r="B42" s="24" t="s">
        <v>48</v>
      </c>
      <c r="C42" s="176" t="s">
        <v>49</v>
      </c>
      <c r="D42" s="176"/>
      <c r="E42" s="176"/>
    </row>
    <row r="43" spans="2:5">
      <c r="B43" s="25" t="s">
        <v>50</v>
      </c>
      <c r="C43" s="26">
        <f>MIN(C52:C63)</f>
        <v>168000</v>
      </c>
      <c r="D43" s="27" t="s">
        <v>51</v>
      </c>
      <c r="E43" s="28">
        <f>MAX(C52:C63)</f>
        <v>298000</v>
      </c>
    </row>
    <row r="44" spans="2:5">
      <c r="B44" s="25" t="s">
        <v>52</v>
      </c>
      <c r="C44" s="29">
        <f>MIN(B52:B63)</f>
        <v>36629</v>
      </c>
      <c r="D44" s="27" t="s">
        <v>53</v>
      </c>
      <c r="E44" s="30">
        <f>MAX(B52:B63)</f>
        <v>36707</v>
      </c>
    </row>
    <row r="45" spans="2:5">
      <c r="B45" s="25" t="s">
        <v>54</v>
      </c>
      <c r="C45" s="177">
        <f>SUM(D52:D63)</f>
        <v>72</v>
      </c>
      <c r="D45" s="177"/>
      <c r="E45" s="177"/>
    </row>
    <row r="46" spans="2:5">
      <c r="B46" s="25" t="s">
        <v>55</v>
      </c>
      <c r="C46" s="178">
        <f>AVERAGE(D52:D63)</f>
        <v>7.2</v>
      </c>
      <c r="D46" s="178"/>
      <c r="E46" s="178"/>
    </row>
    <row r="47" spans="2:5">
      <c r="B47" s="25" t="s">
        <v>56</v>
      </c>
      <c r="C47" s="170">
        <f>COUNT(D52:D63)</f>
        <v>10</v>
      </c>
      <c r="D47" s="171"/>
      <c r="E47" s="172"/>
    </row>
    <row r="48" spans="2:5">
      <c r="B48" s="25" t="s">
        <v>57</v>
      </c>
      <c r="C48" s="170">
        <f>COUNTA(D52:D63)</f>
        <v>12</v>
      </c>
      <c r="D48" s="171"/>
      <c r="E48" s="172"/>
    </row>
    <row r="49" spans="2:5">
      <c r="B49" s="25" t="s">
        <v>58</v>
      </c>
      <c r="C49" s="173">
        <f>SUM(E52:E63)</f>
        <v>16946000</v>
      </c>
      <c r="D49" s="174"/>
      <c r="E49" s="175"/>
    </row>
    <row r="50" spans="2:5">
      <c r="D50" s="31"/>
      <c r="E50" s="31"/>
    </row>
    <row r="51" spans="2:5" ht="13.8" thickBot="1">
      <c r="B51" s="25" t="s">
        <v>52</v>
      </c>
      <c r="C51" s="32" t="s">
        <v>50</v>
      </c>
      <c r="D51" s="32" t="s">
        <v>59</v>
      </c>
      <c r="E51" s="129" t="s">
        <v>60</v>
      </c>
    </row>
    <row r="52" spans="2:5" ht="13.8" thickTop="1">
      <c r="B52" s="33">
        <v>36629</v>
      </c>
      <c r="C52" s="34">
        <v>168000</v>
      </c>
      <c r="D52" s="126">
        <v>5</v>
      </c>
      <c r="E52" s="130">
        <f>IF(D52="中止",0,C52*D52)</f>
        <v>840000</v>
      </c>
    </row>
    <row r="53" spans="2:5">
      <c r="B53" s="33">
        <v>36636</v>
      </c>
      <c r="C53" s="34">
        <v>208000</v>
      </c>
      <c r="D53" s="126">
        <v>3</v>
      </c>
      <c r="E53" s="131">
        <f t="shared" ref="E53:E63" si="0">IF(D53="中止",0,C53*D53)</f>
        <v>624000</v>
      </c>
    </row>
    <row r="54" spans="2:5">
      <c r="B54" s="33">
        <v>36643</v>
      </c>
      <c r="C54" s="34">
        <v>298000</v>
      </c>
      <c r="D54" s="127">
        <v>15</v>
      </c>
      <c r="E54" s="131">
        <f t="shared" si="0"/>
        <v>4470000</v>
      </c>
    </row>
    <row r="55" spans="2:5">
      <c r="B55" s="33">
        <v>36649</v>
      </c>
      <c r="C55" s="34">
        <v>298000</v>
      </c>
      <c r="D55" s="126">
        <v>16</v>
      </c>
      <c r="E55" s="131">
        <f t="shared" si="0"/>
        <v>4768000</v>
      </c>
    </row>
    <row r="56" spans="2:5">
      <c r="B56" s="33">
        <v>36656</v>
      </c>
      <c r="C56" s="34">
        <v>208000</v>
      </c>
      <c r="D56" s="128" t="s">
        <v>61</v>
      </c>
      <c r="E56" s="131">
        <f t="shared" si="0"/>
        <v>0</v>
      </c>
    </row>
    <row r="57" spans="2:5">
      <c r="B57" s="33">
        <v>36663</v>
      </c>
      <c r="C57" s="34">
        <v>178000</v>
      </c>
      <c r="D57" s="126">
        <v>3</v>
      </c>
      <c r="E57" s="131">
        <f t="shared" si="0"/>
        <v>534000</v>
      </c>
    </row>
    <row r="58" spans="2:5">
      <c r="B58" s="33">
        <v>36670</v>
      </c>
      <c r="C58" s="34">
        <v>178000</v>
      </c>
      <c r="D58" s="126">
        <v>6</v>
      </c>
      <c r="E58" s="131">
        <f t="shared" si="0"/>
        <v>1068000</v>
      </c>
    </row>
    <row r="59" spans="2:5">
      <c r="B59" s="33">
        <v>36679</v>
      </c>
      <c r="C59" s="34">
        <v>188000</v>
      </c>
      <c r="D59" s="126">
        <v>10</v>
      </c>
      <c r="E59" s="131">
        <f t="shared" si="0"/>
        <v>1880000</v>
      </c>
    </row>
    <row r="60" spans="2:5">
      <c r="B60" s="33">
        <v>36686</v>
      </c>
      <c r="C60" s="34">
        <v>188000</v>
      </c>
      <c r="D60" s="126">
        <v>2</v>
      </c>
      <c r="E60" s="131">
        <f t="shared" si="0"/>
        <v>376000</v>
      </c>
    </row>
    <row r="61" spans="2:5">
      <c r="B61" s="33">
        <v>36693</v>
      </c>
      <c r="C61" s="34">
        <v>198000</v>
      </c>
      <c r="D61" s="128" t="s">
        <v>61</v>
      </c>
      <c r="E61" s="131">
        <f t="shared" si="0"/>
        <v>0</v>
      </c>
    </row>
    <row r="62" spans="2:5">
      <c r="B62" s="33">
        <v>36700</v>
      </c>
      <c r="C62" s="34">
        <v>198000</v>
      </c>
      <c r="D62" s="127">
        <v>11</v>
      </c>
      <c r="E62" s="131">
        <f t="shared" si="0"/>
        <v>2178000</v>
      </c>
    </row>
    <row r="63" spans="2:5" ht="13.8" thickBot="1">
      <c r="B63" s="33">
        <v>36707</v>
      </c>
      <c r="C63" s="34">
        <v>208000</v>
      </c>
      <c r="D63" s="126">
        <v>1</v>
      </c>
      <c r="E63" s="132">
        <f t="shared" si="0"/>
        <v>208000</v>
      </c>
    </row>
    <row r="64" spans="2:5" ht="13.8" thickTop="1"/>
  </sheetData>
  <mergeCells count="12">
    <mergeCell ref="C3:E3"/>
    <mergeCell ref="C6:E6"/>
    <mergeCell ref="C7:E7"/>
    <mergeCell ref="C8:E8"/>
    <mergeCell ref="C46:E46"/>
    <mergeCell ref="C47:E47"/>
    <mergeCell ref="C48:E48"/>
    <mergeCell ref="C49:E49"/>
    <mergeCell ref="C9:E9"/>
    <mergeCell ref="C10:E10"/>
    <mergeCell ref="C42:E42"/>
    <mergeCell ref="C45:E45"/>
  </mergeCells>
  <phoneticPr fontId="2"/>
  <pageMargins left="0.75" right="0.75" top="1" bottom="1" header="0.51200000000000001" footer="0.51200000000000001"/>
  <pageSetup paperSize="9" orientation="portrait" horizontalDpi="0"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1"/>
  </sheetPr>
  <dimension ref="A1:F58"/>
  <sheetViews>
    <sheetView showGridLines="0" workbookViewId="0"/>
  </sheetViews>
  <sheetFormatPr defaultRowHeight="13.2"/>
  <cols>
    <col min="1" max="1" width="15.6640625" customWidth="1"/>
    <col min="4" max="4" width="20" customWidth="1"/>
    <col min="5" max="5" width="9" style="44"/>
  </cols>
  <sheetData>
    <row r="1" spans="1:6">
      <c r="A1" t="s">
        <v>79</v>
      </c>
    </row>
    <row r="2" spans="1:6" ht="13.8" thickBot="1">
      <c r="A2" s="41" t="s">
        <v>80</v>
      </c>
      <c r="B2" s="41" t="s">
        <v>81</v>
      </c>
      <c r="C2" s="41" t="s">
        <v>82</v>
      </c>
      <c r="D2" s="41" t="s">
        <v>83</v>
      </c>
      <c r="E2" s="89" t="s">
        <v>84</v>
      </c>
    </row>
    <row r="3" spans="1:6" ht="13.8" thickTop="1">
      <c r="A3" s="42" t="s">
        <v>85</v>
      </c>
      <c r="B3" s="43" t="s">
        <v>86</v>
      </c>
      <c r="C3" s="43" t="s">
        <v>87</v>
      </c>
      <c r="D3" s="87" t="s">
        <v>88</v>
      </c>
      <c r="E3" s="88"/>
      <c r="F3" s="85"/>
    </row>
    <row r="4" spans="1:6">
      <c r="A4" s="42" t="s">
        <v>90</v>
      </c>
      <c r="B4" s="43" t="s">
        <v>91</v>
      </c>
      <c r="C4" s="43" t="s">
        <v>87</v>
      </c>
      <c r="D4" s="87" t="s">
        <v>92</v>
      </c>
      <c r="E4" s="86" t="s">
        <v>89</v>
      </c>
      <c r="F4" s="85"/>
    </row>
    <row r="5" spans="1:6">
      <c r="A5" s="42" t="s">
        <v>93</v>
      </c>
      <c r="B5" s="43" t="s">
        <v>94</v>
      </c>
      <c r="C5" s="43" t="s">
        <v>95</v>
      </c>
      <c r="D5" s="87" t="s">
        <v>96</v>
      </c>
      <c r="E5" s="86" t="s">
        <v>89</v>
      </c>
      <c r="F5" s="85"/>
    </row>
    <row r="6" spans="1:6">
      <c r="A6" s="42" t="s">
        <v>90</v>
      </c>
      <c r="B6" s="43" t="s">
        <v>91</v>
      </c>
      <c r="C6" s="43" t="s">
        <v>87</v>
      </c>
      <c r="D6" s="87" t="s">
        <v>92</v>
      </c>
      <c r="E6" s="86" t="s">
        <v>89</v>
      </c>
      <c r="F6" s="85"/>
    </row>
    <row r="7" spans="1:6">
      <c r="A7" s="42" t="s">
        <v>97</v>
      </c>
      <c r="B7" s="43" t="s">
        <v>98</v>
      </c>
      <c r="C7" s="43" t="s">
        <v>99</v>
      </c>
      <c r="D7" s="87" t="s">
        <v>100</v>
      </c>
      <c r="E7" s="86" t="s">
        <v>89</v>
      </c>
      <c r="F7" s="85"/>
    </row>
    <row r="8" spans="1:6">
      <c r="A8" s="42" t="s">
        <v>101</v>
      </c>
      <c r="B8" s="43" t="s">
        <v>102</v>
      </c>
      <c r="C8" s="43" t="s">
        <v>87</v>
      </c>
      <c r="D8" s="87" t="s">
        <v>103</v>
      </c>
      <c r="E8" s="86" t="s">
        <v>89</v>
      </c>
      <c r="F8" s="85"/>
    </row>
    <row r="9" spans="1:6">
      <c r="A9" s="42" t="s">
        <v>104</v>
      </c>
      <c r="B9" s="43" t="s">
        <v>105</v>
      </c>
      <c r="C9" s="43" t="s">
        <v>87</v>
      </c>
      <c r="D9" s="87" t="s">
        <v>106</v>
      </c>
      <c r="E9" s="86" t="s">
        <v>89</v>
      </c>
      <c r="F9" s="85"/>
    </row>
    <row r="10" spans="1:6">
      <c r="A10" s="42" t="s">
        <v>107</v>
      </c>
      <c r="B10" s="43" t="s">
        <v>98</v>
      </c>
      <c r="C10" s="43" t="s">
        <v>99</v>
      </c>
      <c r="D10" s="87" t="s">
        <v>100</v>
      </c>
      <c r="E10" s="86" t="s">
        <v>89</v>
      </c>
      <c r="F10" s="85"/>
    </row>
    <row r="11" spans="1:6">
      <c r="A11" s="42" t="s">
        <v>108</v>
      </c>
      <c r="B11" s="43" t="s">
        <v>109</v>
      </c>
      <c r="C11" s="43" t="s">
        <v>99</v>
      </c>
      <c r="D11" s="87" t="s">
        <v>110</v>
      </c>
      <c r="E11" s="86" t="s">
        <v>89</v>
      </c>
      <c r="F11" s="85"/>
    </row>
    <row r="12" spans="1:6">
      <c r="A12" s="42" t="s">
        <v>111</v>
      </c>
      <c r="B12" s="43" t="s">
        <v>112</v>
      </c>
      <c r="C12" s="43" t="s">
        <v>87</v>
      </c>
      <c r="D12" s="87" t="s">
        <v>113</v>
      </c>
      <c r="E12" s="86" t="s">
        <v>89</v>
      </c>
      <c r="F12" s="85"/>
    </row>
    <row r="13" spans="1:6">
      <c r="A13" s="42" t="s">
        <v>114</v>
      </c>
      <c r="B13" s="43" t="s">
        <v>115</v>
      </c>
      <c r="C13" s="43" t="s">
        <v>87</v>
      </c>
      <c r="D13" s="87" t="s">
        <v>116</v>
      </c>
      <c r="E13" s="86" t="s">
        <v>89</v>
      </c>
      <c r="F13" s="85"/>
    </row>
    <row r="14" spans="1:6">
      <c r="A14" s="42" t="s">
        <v>117</v>
      </c>
      <c r="B14" s="43" t="s">
        <v>118</v>
      </c>
      <c r="C14" s="43" t="s">
        <v>87</v>
      </c>
      <c r="D14" s="87" t="s">
        <v>119</v>
      </c>
      <c r="E14" s="86" t="s">
        <v>89</v>
      </c>
      <c r="F14" s="85"/>
    </row>
    <row r="15" spans="1:6">
      <c r="A15" s="42" t="s">
        <v>120</v>
      </c>
      <c r="B15" s="43" t="s">
        <v>121</v>
      </c>
      <c r="C15" s="43" t="s">
        <v>87</v>
      </c>
      <c r="D15" s="87" t="s">
        <v>122</v>
      </c>
      <c r="E15" s="86" t="s">
        <v>89</v>
      </c>
      <c r="F15" s="85"/>
    </row>
    <row r="16" spans="1:6">
      <c r="A16" s="42" t="s">
        <v>123</v>
      </c>
      <c r="B16" s="43" t="s">
        <v>124</v>
      </c>
      <c r="C16" s="43" t="s">
        <v>87</v>
      </c>
      <c r="D16" s="87" t="s">
        <v>125</v>
      </c>
      <c r="E16" s="86" t="s">
        <v>89</v>
      </c>
      <c r="F16" s="85"/>
    </row>
    <row r="17" spans="1:6">
      <c r="A17" s="42" t="s">
        <v>126</v>
      </c>
      <c r="B17" s="43" t="s">
        <v>118</v>
      </c>
      <c r="C17" s="43" t="s">
        <v>87</v>
      </c>
      <c r="D17" s="87" t="s">
        <v>119</v>
      </c>
      <c r="E17" s="86" t="s">
        <v>89</v>
      </c>
      <c r="F17" s="85"/>
    </row>
    <row r="18" spans="1:6" ht="13.8" thickBot="1">
      <c r="A18" s="42" t="s">
        <v>127</v>
      </c>
      <c r="B18" s="43" t="s">
        <v>128</v>
      </c>
      <c r="C18" s="43" t="s">
        <v>129</v>
      </c>
      <c r="D18" s="87" t="s">
        <v>130</v>
      </c>
      <c r="E18" s="90" t="s">
        <v>89</v>
      </c>
      <c r="F18" s="85"/>
    </row>
    <row r="19" spans="1:6" ht="13.8" thickTop="1">
      <c r="E19" s="91"/>
    </row>
    <row r="40" spans="1:5">
      <c r="A40" t="s">
        <v>79</v>
      </c>
    </row>
    <row r="41" spans="1:5" ht="13.8" thickBot="1">
      <c r="A41" s="41" t="s">
        <v>80</v>
      </c>
      <c r="B41" s="41" t="s">
        <v>81</v>
      </c>
      <c r="C41" s="41" t="s">
        <v>82</v>
      </c>
      <c r="D41" s="41" t="s">
        <v>83</v>
      </c>
      <c r="E41" s="134" t="s">
        <v>84</v>
      </c>
    </row>
    <row r="42" spans="1:5" ht="13.8" thickTop="1">
      <c r="A42" s="42" t="s">
        <v>85</v>
      </c>
      <c r="B42" s="43" t="s">
        <v>86</v>
      </c>
      <c r="C42" s="43" t="s">
        <v>87</v>
      </c>
      <c r="D42" s="133" t="s">
        <v>88</v>
      </c>
      <c r="E42" s="135" t="str">
        <f>IF(C42&lt;&gt;"東京都","○","")</f>
        <v/>
      </c>
    </row>
    <row r="43" spans="1:5">
      <c r="A43" s="42" t="s">
        <v>90</v>
      </c>
      <c r="B43" s="43" t="s">
        <v>91</v>
      </c>
      <c r="C43" s="43" t="s">
        <v>87</v>
      </c>
      <c r="D43" s="133" t="s">
        <v>92</v>
      </c>
      <c r="E43" s="136" t="str">
        <f t="shared" ref="E43:E57" si="0">IF(C43&lt;&gt;"東京都","○","")</f>
        <v/>
      </c>
    </row>
    <row r="44" spans="1:5">
      <c r="A44" s="42" t="s">
        <v>93</v>
      </c>
      <c r="B44" s="43" t="s">
        <v>94</v>
      </c>
      <c r="C44" s="43" t="s">
        <v>95</v>
      </c>
      <c r="D44" s="133" t="s">
        <v>96</v>
      </c>
      <c r="E44" s="136" t="str">
        <f t="shared" si="0"/>
        <v>○</v>
      </c>
    </row>
    <row r="45" spans="1:5">
      <c r="A45" s="42" t="s">
        <v>90</v>
      </c>
      <c r="B45" s="43" t="s">
        <v>91</v>
      </c>
      <c r="C45" s="43" t="s">
        <v>87</v>
      </c>
      <c r="D45" s="133" t="s">
        <v>92</v>
      </c>
      <c r="E45" s="136" t="str">
        <f t="shared" si="0"/>
        <v/>
      </c>
    </row>
    <row r="46" spans="1:5">
      <c r="A46" s="42" t="s">
        <v>97</v>
      </c>
      <c r="B46" s="43" t="s">
        <v>98</v>
      </c>
      <c r="C46" s="43" t="s">
        <v>99</v>
      </c>
      <c r="D46" s="133" t="s">
        <v>100</v>
      </c>
      <c r="E46" s="136" t="str">
        <f t="shared" si="0"/>
        <v>○</v>
      </c>
    </row>
    <row r="47" spans="1:5">
      <c r="A47" s="42" t="s">
        <v>101</v>
      </c>
      <c r="B47" s="43" t="s">
        <v>102</v>
      </c>
      <c r="C47" s="43" t="s">
        <v>87</v>
      </c>
      <c r="D47" s="133" t="s">
        <v>103</v>
      </c>
      <c r="E47" s="136" t="str">
        <f t="shared" si="0"/>
        <v/>
      </c>
    </row>
    <row r="48" spans="1:5">
      <c r="A48" s="42" t="s">
        <v>104</v>
      </c>
      <c r="B48" s="43" t="s">
        <v>105</v>
      </c>
      <c r="C48" s="43" t="s">
        <v>87</v>
      </c>
      <c r="D48" s="133" t="s">
        <v>106</v>
      </c>
      <c r="E48" s="136" t="str">
        <f t="shared" si="0"/>
        <v/>
      </c>
    </row>
    <row r="49" spans="1:5">
      <c r="A49" s="42" t="s">
        <v>107</v>
      </c>
      <c r="B49" s="43" t="s">
        <v>98</v>
      </c>
      <c r="C49" s="43" t="s">
        <v>99</v>
      </c>
      <c r="D49" s="133" t="s">
        <v>100</v>
      </c>
      <c r="E49" s="136" t="str">
        <f t="shared" si="0"/>
        <v>○</v>
      </c>
    </row>
    <row r="50" spans="1:5">
      <c r="A50" s="42" t="s">
        <v>108</v>
      </c>
      <c r="B50" s="43" t="s">
        <v>109</v>
      </c>
      <c r="C50" s="43" t="s">
        <v>99</v>
      </c>
      <c r="D50" s="133" t="s">
        <v>110</v>
      </c>
      <c r="E50" s="136" t="str">
        <f t="shared" si="0"/>
        <v>○</v>
      </c>
    </row>
    <row r="51" spans="1:5">
      <c r="A51" s="42" t="s">
        <v>111</v>
      </c>
      <c r="B51" s="43" t="s">
        <v>112</v>
      </c>
      <c r="C51" s="43" t="s">
        <v>87</v>
      </c>
      <c r="D51" s="133" t="s">
        <v>113</v>
      </c>
      <c r="E51" s="136" t="str">
        <f t="shared" si="0"/>
        <v/>
      </c>
    </row>
    <row r="52" spans="1:5">
      <c r="A52" s="42" t="s">
        <v>114</v>
      </c>
      <c r="B52" s="43" t="s">
        <v>115</v>
      </c>
      <c r="C52" s="43" t="s">
        <v>87</v>
      </c>
      <c r="D52" s="133" t="s">
        <v>116</v>
      </c>
      <c r="E52" s="136" t="str">
        <f t="shared" si="0"/>
        <v/>
      </c>
    </row>
    <row r="53" spans="1:5">
      <c r="A53" s="42" t="s">
        <v>117</v>
      </c>
      <c r="B53" s="43" t="s">
        <v>118</v>
      </c>
      <c r="C53" s="43" t="s">
        <v>87</v>
      </c>
      <c r="D53" s="133" t="s">
        <v>119</v>
      </c>
      <c r="E53" s="136" t="str">
        <f t="shared" si="0"/>
        <v/>
      </c>
    </row>
    <row r="54" spans="1:5">
      <c r="A54" s="42" t="s">
        <v>120</v>
      </c>
      <c r="B54" s="43" t="s">
        <v>121</v>
      </c>
      <c r="C54" s="43" t="s">
        <v>87</v>
      </c>
      <c r="D54" s="133" t="s">
        <v>122</v>
      </c>
      <c r="E54" s="136" t="str">
        <f t="shared" si="0"/>
        <v/>
      </c>
    </row>
    <row r="55" spans="1:5">
      <c r="A55" s="42" t="s">
        <v>123</v>
      </c>
      <c r="B55" s="43" t="s">
        <v>124</v>
      </c>
      <c r="C55" s="43" t="s">
        <v>87</v>
      </c>
      <c r="D55" s="133" t="s">
        <v>125</v>
      </c>
      <c r="E55" s="136" t="str">
        <f t="shared" si="0"/>
        <v/>
      </c>
    </row>
    <row r="56" spans="1:5">
      <c r="A56" s="42" t="s">
        <v>126</v>
      </c>
      <c r="B56" s="43" t="s">
        <v>118</v>
      </c>
      <c r="C56" s="43" t="s">
        <v>87</v>
      </c>
      <c r="D56" s="133" t="s">
        <v>119</v>
      </c>
      <c r="E56" s="136" t="str">
        <f t="shared" si="0"/>
        <v/>
      </c>
    </row>
    <row r="57" spans="1:5" ht="13.8" thickBot="1">
      <c r="A57" s="42" t="s">
        <v>127</v>
      </c>
      <c r="B57" s="43" t="s">
        <v>128</v>
      </c>
      <c r="C57" s="43" t="s">
        <v>129</v>
      </c>
      <c r="D57" s="133" t="s">
        <v>130</v>
      </c>
      <c r="E57" s="137" t="str">
        <f t="shared" si="0"/>
        <v>○</v>
      </c>
    </row>
    <row r="58" spans="1:5" ht="13.8" thickTop="1"/>
  </sheetData>
  <phoneticPr fontId="2"/>
  <pageMargins left="0.75" right="0.75" top="1" bottom="1" header="0.51200000000000001" footer="0.51200000000000001"/>
  <pageSetup paperSize="9" orientation="portrait" horizontalDpi="400" verticalDpi="4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3"/>
  </sheetPr>
  <dimension ref="B4:J66"/>
  <sheetViews>
    <sheetView showGridLines="0" workbookViewId="0"/>
  </sheetViews>
  <sheetFormatPr defaultRowHeight="13.2"/>
  <cols>
    <col min="2" max="2" width="10.109375" customWidth="1"/>
    <col min="7" max="7" width="9.6640625" customWidth="1"/>
    <col min="8" max="8" width="11.109375" bestFit="1" customWidth="1"/>
  </cols>
  <sheetData>
    <row r="4" spans="2:10" ht="26.4">
      <c r="B4" s="4" t="s">
        <v>2</v>
      </c>
      <c r="C4" s="4"/>
      <c r="J4" s="6" t="s">
        <v>20</v>
      </c>
    </row>
    <row r="5" spans="2:10" ht="13.8" thickBot="1">
      <c r="B5" s="18" t="s">
        <v>1</v>
      </c>
      <c r="C5" s="18" t="s">
        <v>3</v>
      </c>
      <c r="D5" s="18" t="s">
        <v>4</v>
      </c>
      <c r="E5" s="18" t="s">
        <v>0</v>
      </c>
      <c r="F5" s="99" t="s">
        <v>5</v>
      </c>
      <c r="G5" s="99" t="s">
        <v>21</v>
      </c>
      <c r="H5" s="99" t="s">
        <v>22</v>
      </c>
    </row>
    <row r="6" spans="2:10" ht="13.8" thickTop="1">
      <c r="B6" s="19" t="s">
        <v>6</v>
      </c>
      <c r="C6" s="19">
        <v>79</v>
      </c>
      <c r="D6" s="19">
        <v>60</v>
      </c>
      <c r="E6" s="94">
        <f>SUM(C6:D6)</f>
        <v>139</v>
      </c>
      <c r="F6" s="96"/>
      <c r="G6" s="97"/>
      <c r="H6" s="98"/>
      <c r="I6" s="85"/>
    </row>
    <row r="7" spans="2:10">
      <c r="B7" s="2" t="s">
        <v>7</v>
      </c>
      <c r="C7" s="2">
        <v>75</v>
      </c>
      <c r="D7" s="2">
        <v>56</v>
      </c>
      <c r="E7" s="95">
        <f t="shared" ref="E7:E19" si="0">SUM(C7:D7)</f>
        <v>131</v>
      </c>
      <c r="F7" s="93"/>
      <c r="G7" s="3"/>
      <c r="H7" s="92"/>
      <c r="I7" s="85"/>
    </row>
    <row r="8" spans="2:10">
      <c r="B8" s="2" t="s">
        <v>8</v>
      </c>
      <c r="C8" s="2">
        <v>66</v>
      </c>
      <c r="D8" s="2">
        <v>69</v>
      </c>
      <c r="E8" s="95">
        <f t="shared" si="0"/>
        <v>135</v>
      </c>
      <c r="F8" s="93"/>
      <c r="G8" s="3"/>
      <c r="H8" s="92"/>
      <c r="I8" s="85"/>
    </row>
    <row r="9" spans="2:10">
      <c r="B9" s="2" t="s">
        <v>9</v>
      </c>
      <c r="C9" s="2">
        <v>48</v>
      </c>
      <c r="D9" s="2">
        <v>26</v>
      </c>
      <c r="E9" s="95">
        <f t="shared" si="0"/>
        <v>74</v>
      </c>
      <c r="F9" s="93"/>
      <c r="G9" s="3"/>
      <c r="H9" s="92"/>
      <c r="I9" s="85"/>
    </row>
    <row r="10" spans="2:10">
      <c r="B10" s="2" t="s">
        <v>10</v>
      </c>
      <c r="C10" s="2">
        <v>76</v>
      </c>
      <c r="D10" s="2">
        <v>90</v>
      </c>
      <c r="E10" s="95">
        <f t="shared" si="0"/>
        <v>166</v>
      </c>
      <c r="F10" s="93"/>
      <c r="G10" s="3"/>
      <c r="H10" s="92"/>
      <c r="I10" s="85"/>
    </row>
    <row r="11" spans="2:10">
      <c r="B11" s="2" t="s">
        <v>11</v>
      </c>
      <c r="C11" s="2">
        <v>39</v>
      </c>
      <c r="D11" s="2">
        <v>23</v>
      </c>
      <c r="E11" s="95">
        <f t="shared" si="0"/>
        <v>62</v>
      </c>
      <c r="F11" s="93"/>
      <c r="G11" s="3"/>
      <c r="H11" s="92"/>
      <c r="I11" s="85"/>
    </row>
    <row r="12" spans="2:10">
      <c r="B12" s="2" t="s">
        <v>12</v>
      </c>
      <c r="C12" s="2">
        <v>63</v>
      </c>
      <c r="D12" s="2">
        <v>87</v>
      </c>
      <c r="E12" s="95">
        <f t="shared" si="0"/>
        <v>150</v>
      </c>
      <c r="F12" s="93"/>
      <c r="G12" s="3"/>
      <c r="H12" s="92"/>
      <c r="I12" s="85"/>
    </row>
    <row r="13" spans="2:10">
      <c r="B13" s="2" t="s">
        <v>13</v>
      </c>
      <c r="C13" s="2">
        <v>79</v>
      </c>
      <c r="D13" s="2">
        <v>45</v>
      </c>
      <c r="E13" s="95">
        <f t="shared" si="0"/>
        <v>124</v>
      </c>
      <c r="F13" s="93"/>
      <c r="G13" s="3"/>
      <c r="H13" s="92"/>
      <c r="I13" s="85"/>
    </row>
    <row r="14" spans="2:10">
      <c r="B14" s="2" t="s">
        <v>14</v>
      </c>
      <c r="C14" s="2">
        <v>31</v>
      </c>
      <c r="D14" s="2">
        <v>61</v>
      </c>
      <c r="E14" s="95">
        <f t="shared" si="0"/>
        <v>92</v>
      </c>
      <c r="F14" s="93"/>
      <c r="G14" s="3"/>
      <c r="H14" s="92"/>
      <c r="I14" s="85"/>
    </row>
    <row r="15" spans="2:10">
      <c r="B15" s="2" t="s">
        <v>15</v>
      </c>
      <c r="C15" s="2">
        <v>58</v>
      </c>
      <c r="D15" s="2">
        <v>90</v>
      </c>
      <c r="E15" s="95">
        <f t="shared" si="0"/>
        <v>148</v>
      </c>
      <c r="F15" s="93"/>
      <c r="G15" s="3"/>
      <c r="H15" s="92"/>
      <c r="I15" s="85"/>
    </row>
    <row r="16" spans="2:10">
      <c r="B16" s="2" t="s">
        <v>16</v>
      </c>
      <c r="C16" s="2">
        <v>49</v>
      </c>
      <c r="D16" s="2">
        <v>46</v>
      </c>
      <c r="E16" s="95">
        <f t="shared" si="0"/>
        <v>95</v>
      </c>
      <c r="F16" s="93"/>
      <c r="G16" s="3"/>
      <c r="H16" s="92"/>
      <c r="I16" s="85"/>
    </row>
    <row r="17" spans="2:9">
      <c r="B17" s="2" t="s">
        <v>17</v>
      </c>
      <c r="C17" s="2">
        <v>62</v>
      </c>
      <c r="D17" s="2">
        <v>72</v>
      </c>
      <c r="E17" s="95">
        <f t="shared" si="0"/>
        <v>134</v>
      </c>
      <c r="F17" s="93"/>
      <c r="G17" s="3"/>
      <c r="H17" s="92"/>
      <c r="I17" s="85"/>
    </row>
    <row r="18" spans="2:9">
      <c r="B18" s="2" t="s">
        <v>18</v>
      </c>
      <c r="C18" s="2">
        <v>50</v>
      </c>
      <c r="D18" s="2">
        <v>73</v>
      </c>
      <c r="E18" s="95">
        <f t="shared" si="0"/>
        <v>123</v>
      </c>
      <c r="F18" s="93"/>
      <c r="G18" s="3"/>
      <c r="H18" s="92"/>
      <c r="I18" s="85"/>
    </row>
    <row r="19" spans="2:9" ht="13.8" thickBot="1">
      <c r="B19" s="2" t="s">
        <v>19</v>
      </c>
      <c r="C19" s="2">
        <v>80</v>
      </c>
      <c r="D19" s="2">
        <v>93</v>
      </c>
      <c r="E19" s="95">
        <f t="shared" si="0"/>
        <v>173</v>
      </c>
      <c r="F19" s="100"/>
      <c r="G19" s="101"/>
      <c r="H19" s="102"/>
      <c r="I19" s="85"/>
    </row>
    <row r="20" spans="2:9" ht="13.8" thickTop="1">
      <c r="F20" s="103"/>
      <c r="G20" s="103"/>
      <c r="H20" s="103"/>
    </row>
    <row r="23" spans="2:9">
      <c r="B23" s="5"/>
      <c r="C23" s="5"/>
    </row>
    <row r="50" spans="2:8" ht="16.2">
      <c r="B50" s="4" t="s">
        <v>2</v>
      </c>
      <c r="C50" s="4"/>
    </row>
    <row r="51" spans="2:8" ht="13.8" thickBot="1">
      <c r="B51" s="18" t="s">
        <v>1</v>
      </c>
      <c r="C51" s="18" t="s">
        <v>3</v>
      </c>
      <c r="D51" s="18" t="s">
        <v>4</v>
      </c>
      <c r="E51" s="18" t="s">
        <v>0</v>
      </c>
      <c r="F51" s="18" t="s">
        <v>5</v>
      </c>
      <c r="G51" s="18" t="s">
        <v>21</v>
      </c>
      <c r="H51" s="18" t="s">
        <v>22</v>
      </c>
    </row>
    <row r="52" spans="2:8" ht="13.8" thickTop="1">
      <c r="B52" s="19" t="s">
        <v>6</v>
      </c>
      <c r="C52" s="19">
        <v>79</v>
      </c>
      <c r="D52" s="19">
        <v>60</v>
      </c>
      <c r="E52" s="138">
        <f>SUM(C52:D52)</f>
        <v>139</v>
      </c>
      <c r="F52" s="140">
        <f>RANK(E52,$E$52:$E$65)</f>
        <v>5</v>
      </c>
      <c r="G52" s="141" t="str">
        <f>IF(C52&gt;=60,"合","否")</f>
        <v>合</v>
      </c>
      <c r="H52" s="142" t="str">
        <f>IF(D52&gt;=60,"合","否")</f>
        <v>合</v>
      </c>
    </row>
    <row r="53" spans="2:8">
      <c r="B53" s="2" t="s">
        <v>7</v>
      </c>
      <c r="C53" s="2">
        <v>75</v>
      </c>
      <c r="D53" s="2">
        <v>56</v>
      </c>
      <c r="E53" s="139">
        <f t="shared" ref="E53:E65" si="1">SUM(C53:D53)</f>
        <v>131</v>
      </c>
      <c r="F53" s="143">
        <f t="shared" ref="F53:F65" si="2">RANK(E53,$E$52:$E$65)</f>
        <v>8</v>
      </c>
      <c r="G53" s="3" t="str">
        <f t="shared" ref="G53:H65" si="3">IF(C53&gt;=60,"合","否")</f>
        <v>合</v>
      </c>
      <c r="H53" s="144" t="str">
        <f t="shared" si="3"/>
        <v>否</v>
      </c>
    </row>
    <row r="54" spans="2:8">
      <c r="B54" s="2" t="s">
        <v>8</v>
      </c>
      <c r="C54" s="2">
        <v>66</v>
      </c>
      <c r="D54" s="2">
        <v>69</v>
      </c>
      <c r="E54" s="139">
        <f t="shared" si="1"/>
        <v>135</v>
      </c>
      <c r="F54" s="143">
        <f t="shared" si="2"/>
        <v>6</v>
      </c>
      <c r="G54" s="3" t="str">
        <f t="shared" si="3"/>
        <v>合</v>
      </c>
      <c r="H54" s="144" t="str">
        <f t="shared" si="3"/>
        <v>合</v>
      </c>
    </row>
    <row r="55" spans="2:8">
      <c r="B55" s="2" t="s">
        <v>9</v>
      </c>
      <c r="C55" s="2">
        <v>48</v>
      </c>
      <c r="D55" s="2">
        <v>26</v>
      </c>
      <c r="E55" s="139">
        <f t="shared" si="1"/>
        <v>74</v>
      </c>
      <c r="F55" s="143">
        <f t="shared" si="2"/>
        <v>13</v>
      </c>
      <c r="G55" s="3" t="str">
        <f t="shared" si="3"/>
        <v>否</v>
      </c>
      <c r="H55" s="144" t="str">
        <f t="shared" si="3"/>
        <v>否</v>
      </c>
    </row>
    <row r="56" spans="2:8">
      <c r="B56" s="2" t="s">
        <v>10</v>
      </c>
      <c r="C56" s="2">
        <v>76</v>
      </c>
      <c r="D56" s="2">
        <v>90</v>
      </c>
      <c r="E56" s="139">
        <f t="shared" si="1"/>
        <v>166</v>
      </c>
      <c r="F56" s="143">
        <f t="shared" si="2"/>
        <v>2</v>
      </c>
      <c r="G56" s="3" t="str">
        <f t="shared" si="3"/>
        <v>合</v>
      </c>
      <c r="H56" s="144" t="str">
        <f t="shared" si="3"/>
        <v>合</v>
      </c>
    </row>
    <row r="57" spans="2:8">
      <c r="B57" s="2" t="s">
        <v>11</v>
      </c>
      <c r="C57" s="2">
        <v>39</v>
      </c>
      <c r="D57" s="2">
        <v>23</v>
      </c>
      <c r="E57" s="139">
        <f t="shared" si="1"/>
        <v>62</v>
      </c>
      <c r="F57" s="143">
        <f t="shared" si="2"/>
        <v>14</v>
      </c>
      <c r="G57" s="3" t="str">
        <f t="shared" si="3"/>
        <v>否</v>
      </c>
      <c r="H57" s="144" t="str">
        <f t="shared" si="3"/>
        <v>否</v>
      </c>
    </row>
    <row r="58" spans="2:8">
      <c r="B58" s="2" t="s">
        <v>12</v>
      </c>
      <c r="C58" s="2">
        <v>63</v>
      </c>
      <c r="D58" s="2">
        <v>87</v>
      </c>
      <c r="E58" s="139">
        <f t="shared" si="1"/>
        <v>150</v>
      </c>
      <c r="F58" s="143">
        <f t="shared" si="2"/>
        <v>3</v>
      </c>
      <c r="G58" s="3" t="str">
        <f t="shared" si="3"/>
        <v>合</v>
      </c>
      <c r="H58" s="144" t="str">
        <f t="shared" si="3"/>
        <v>合</v>
      </c>
    </row>
    <row r="59" spans="2:8">
      <c r="B59" s="2" t="s">
        <v>13</v>
      </c>
      <c r="C59" s="2">
        <v>79</v>
      </c>
      <c r="D59" s="2">
        <v>45</v>
      </c>
      <c r="E59" s="139">
        <f t="shared" si="1"/>
        <v>124</v>
      </c>
      <c r="F59" s="143">
        <f t="shared" si="2"/>
        <v>9</v>
      </c>
      <c r="G59" s="3" t="str">
        <f t="shared" si="3"/>
        <v>合</v>
      </c>
      <c r="H59" s="144" t="str">
        <f t="shared" si="3"/>
        <v>否</v>
      </c>
    </row>
    <row r="60" spans="2:8">
      <c r="B60" s="2" t="s">
        <v>14</v>
      </c>
      <c r="C60" s="2">
        <v>31</v>
      </c>
      <c r="D60" s="2">
        <v>61</v>
      </c>
      <c r="E60" s="139">
        <f t="shared" si="1"/>
        <v>92</v>
      </c>
      <c r="F60" s="143">
        <f t="shared" si="2"/>
        <v>12</v>
      </c>
      <c r="G60" s="3" t="str">
        <f t="shared" si="3"/>
        <v>否</v>
      </c>
      <c r="H60" s="144" t="str">
        <f t="shared" si="3"/>
        <v>合</v>
      </c>
    </row>
    <row r="61" spans="2:8">
      <c r="B61" s="2" t="s">
        <v>15</v>
      </c>
      <c r="C61" s="2">
        <v>58</v>
      </c>
      <c r="D61" s="2">
        <v>90</v>
      </c>
      <c r="E61" s="139">
        <f t="shared" si="1"/>
        <v>148</v>
      </c>
      <c r="F61" s="143">
        <f t="shared" si="2"/>
        <v>4</v>
      </c>
      <c r="G61" s="3" t="str">
        <f t="shared" si="3"/>
        <v>否</v>
      </c>
      <c r="H61" s="144" t="str">
        <f t="shared" si="3"/>
        <v>合</v>
      </c>
    </row>
    <row r="62" spans="2:8">
      <c r="B62" s="2" t="s">
        <v>16</v>
      </c>
      <c r="C62" s="2">
        <v>49</v>
      </c>
      <c r="D62" s="2">
        <v>46</v>
      </c>
      <c r="E62" s="139">
        <f t="shared" si="1"/>
        <v>95</v>
      </c>
      <c r="F62" s="143">
        <f t="shared" si="2"/>
        <v>11</v>
      </c>
      <c r="G62" s="3" t="str">
        <f t="shared" si="3"/>
        <v>否</v>
      </c>
      <c r="H62" s="144" t="str">
        <f t="shared" si="3"/>
        <v>否</v>
      </c>
    </row>
    <row r="63" spans="2:8">
      <c r="B63" s="2" t="s">
        <v>17</v>
      </c>
      <c r="C63" s="2">
        <v>62</v>
      </c>
      <c r="D63" s="2">
        <v>72</v>
      </c>
      <c r="E63" s="139">
        <f t="shared" si="1"/>
        <v>134</v>
      </c>
      <c r="F63" s="143">
        <f t="shared" si="2"/>
        <v>7</v>
      </c>
      <c r="G63" s="3" t="str">
        <f t="shared" si="3"/>
        <v>合</v>
      </c>
      <c r="H63" s="144" t="str">
        <f t="shared" si="3"/>
        <v>合</v>
      </c>
    </row>
    <row r="64" spans="2:8">
      <c r="B64" s="2" t="s">
        <v>18</v>
      </c>
      <c r="C64" s="2">
        <v>50</v>
      </c>
      <c r="D64" s="2">
        <v>73</v>
      </c>
      <c r="E64" s="139">
        <f t="shared" si="1"/>
        <v>123</v>
      </c>
      <c r="F64" s="143">
        <f t="shared" si="2"/>
        <v>10</v>
      </c>
      <c r="G64" s="3" t="str">
        <f t="shared" si="3"/>
        <v>否</v>
      </c>
      <c r="H64" s="144" t="str">
        <f t="shared" si="3"/>
        <v>合</v>
      </c>
    </row>
    <row r="65" spans="2:8" ht="13.8" thickBot="1">
      <c r="B65" s="2" t="s">
        <v>19</v>
      </c>
      <c r="C65" s="2">
        <v>80</v>
      </c>
      <c r="D65" s="2">
        <v>93</v>
      </c>
      <c r="E65" s="139">
        <f t="shared" si="1"/>
        <v>173</v>
      </c>
      <c r="F65" s="145">
        <f t="shared" si="2"/>
        <v>1</v>
      </c>
      <c r="G65" s="146" t="str">
        <f t="shared" si="3"/>
        <v>合</v>
      </c>
      <c r="H65" s="147" t="str">
        <f t="shared" si="3"/>
        <v>合</v>
      </c>
    </row>
    <row r="66" spans="2:8" ht="13.8" thickTop="1"/>
  </sheetData>
  <phoneticPr fontId="2"/>
  <pageMargins left="0.75" right="0.75" top="1" bottom="1" header="0.51200000000000001" footer="0.51200000000000001"/>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1"/>
  </sheetPr>
  <dimension ref="A1:J110"/>
  <sheetViews>
    <sheetView showGridLines="0" workbookViewId="0"/>
  </sheetViews>
  <sheetFormatPr defaultRowHeight="13.2"/>
  <cols>
    <col min="10" max="10" width="19.109375" customWidth="1"/>
  </cols>
  <sheetData>
    <row r="1" spans="1:10" ht="16.8" thickBot="1">
      <c r="A1" s="7" t="s">
        <v>23</v>
      </c>
      <c r="B1" s="8"/>
      <c r="C1" s="8"/>
    </row>
    <row r="3" spans="1:10" ht="13.8" thickBot="1">
      <c r="A3" s="14" t="s">
        <v>24</v>
      </c>
      <c r="B3" s="14" t="s">
        <v>25</v>
      </c>
      <c r="C3" s="14" t="s">
        <v>26</v>
      </c>
      <c r="D3" s="14" t="s">
        <v>27</v>
      </c>
      <c r="E3" s="14" t="s">
        <v>28</v>
      </c>
      <c r="F3" s="14" t="s">
        <v>29</v>
      </c>
      <c r="G3" s="110" t="s">
        <v>30</v>
      </c>
      <c r="H3" s="110" t="s">
        <v>5</v>
      </c>
      <c r="I3" s="110" t="s">
        <v>31</v>
      </c>
    </row>
    <row r="4" spans="1:10" ht="13.8" thickTop="1">
      <c r="A4" s="15" t="s">
        <v>32</v>
      </c>
      <c r="B4" s="16">
        <v>9.5500000000000007</v>
      </c>
      <c r="C4" s="16">
        <v>9.4</v>
      </c>
      <c r="D4" s="16">
        <v>9.4499999999999993</v>
      </c>
      <c r="E4" s="16">
        <v>9.6</v>
      </c>
      <c r="F4" s="106">
        <v>9.25</v>
      </c>
      <c r="G4" s="108"/>
      <c r="H4" s="50"/>
      <c r="I4" s="109"/>
      <c r="J4" s="85"/>
    </row>
    <row r="5" spans="1:10">
      <c r="A5" s="9" t="s">
        <v>33</v>
      </c>
      <c r="B5" s="10">
        <v>9.75</v>
      </c>
      <c r="C5" s="10">
        <v>9.4499999999999993</v>
      </c>
      <c r="D5" s="10">
        <v>9.85</v>
      </c>
      <c r="E5" s="10">
        <v>9.6</v>
      </c>
      <c r="F5" s="107">
        <v>9.65</v>
      </c>
      <c r="G5" s="105"/>
      <c r="H5" s="11"/>
      <c r="I5" s="104"/>
      <c r="J5" s="85"/>
    </row>
    <row r="6" spans="1:10">
      <c r="A6" s="9" t="s">
        <v>34</v>
      </c>
      <c r="B6" s="10">
        <v>9.1999999999999993</v>
      </c>
      <c r="C6" s="10">
        <v>9.4499999999999993</v>
      </c>
      <c r="D6" s="10">
        <v>9.4</v>
      </c>
      <c r="E6" s="10">
        <v>9.35</v>
      </c>
      <c r="F6" s="107">
        <v>9.5500000000000007</v>
      </c>
      <c r="G6" s="105"/>
      <c r="H6" s="11"/>
      <c r="I6" s="104"/>
      <c r="J6" s="85"/>
    </row>
    <row r="7" spans="1:10">
      <c r="A7" s="9" t="s">
        <v>35</v>
      </c>
      <c r="B7" s="10">
        <v>8.9</v>
      </c>
      <c r="C7" s="10">
        <v>9</v>
      </c>
      <c r="D7" s="10">
        <v>9.1999999999999993</v>
      </c>
      <c r="E7" s="10">
        <v>9.15</v>
      </c>
      <c r="F7" s="107">
        <v>9.35</v>
      </c>
      <c r="G7" s="105"/>
      <c r="H7" s="11"/>
      <c r="I7" s="104"/>
      <c r="J7" s="85"/>
    </row>
    <row r="8" spans="1:10">
      <c r="A8" s="9" t="s">
        <v>36</v>
      </c>
      <c r="B8" s="10">
        <v>9.8000000000000007</v>
      </c>
      <c r="C8" s="10">
        <v>9.3000000000000007</v>
      </c>
      <c r="D8" s="10">
        <v>9.4499999999999993</v>
      </c>
      <c r="E8" s="10">
        <v>9.85</v>
      </c>
      <c r="F8" s="107">
        <v>9.65</v>
      </c>
      <c r="G8" s="105"/>
      <c r="H8" s="11"/>
      <c r="I8" s="104"/>
      <c r="J8" s="85"/>
    </row>
    <row r="9" spans="1:10">
      <c r="A9" s="9" t="s">
        <v>37</v>
      </c>
      <c r="B9" s="10">
        <v>9.9</v>
      </c>
      <c r="C9" s="10">
        <v>9.65</v>
      </c>
      <c r="D9" s="10">
        <v>9.5500000000000007</v>
      </c>
      <c r="E9" s="10">
        <v>9.4499999999999993</v>
      </c>
      <c r="F9" s="107">
        <v>9.65</v>
      </c>
      <c r="G9" s="105"/>
      <c r="H9" s="11"/>
      <c r="I9" s="104"/>
      <c r="J9" s="85"/>
    </row>
    <row r="10" spans="1:10">
      <c r="A10" s="9" t="s">
        <v>38</v>
      </c>
      <c r="B10" s="10">
        <v>9.5</v>
      </c>
      <c r="C10" s="10">
        <v>9.1999999999999993</v>
      </c>
      <c r="D10" s="10">
        <v>9.35</v>
      </c>
      <c r="E10" s="10">
        <v>9.6</v>
      </c>
      <c r="F10" s="107">
        <v>9.4499999999999993</v>
      </c>
      <c r="G10" s="105"/>
      <c r="H10" s="11"/>
      <c r="I10" s="104"/>
      <c r="J10" s="85"/>
    </row>
    <row r="11" spans="1:10">
      <c r="A11" s="9" t="s">
        <v>39</v>
      </c>
      <c r="B11" s="10">
        <v>9.4499999999999993</v>
      </c>
      <c r="C11" s="10">
        <v>9.3000000000000007</v>
      </c>
      <c r="D11" s="10">
        <v>9.3000000000000007</v>
      </c>
      <c r="E11" s="10">
        <v>9.4</v>
      </c>
      <c r="F11" s="107">
        <v>9.5</v>
      </c>
      <c r="G11" s="105"/>
      <c r="H11" s="11"/>
      <c r="I11" s="104"/>
      <c r="J11" s="85"/>
    </row>
    <row r="12" spans="1:10">
      <c r="A12" s="9" t="s">
        <v>40</v>
      </c>
      <c r="B12" s="10">
        <v>9.1999999999999993</v>
      </c>
      <c r="C12" s="10">
        <v>9</v>
      </c>
      <c r="D12" s="10">
        <v>9.25</v>
      </c>
      <c r="E12" s="10">
        <v>9.25</v>
      </c>
      <c r="F12" s="107">
        <v>9.0500000000000007</v>
      </c>
      <c r="G12" s="105"/>
      <c r="H12" s="11"/>
      <c r="I12" s="104"/>
      <c r="J12" s="85"/>
    </row>
    <row r="13" spans="1:10">
      <c r="A13" s="9" t="s">
        <v>41</v>
      </c>
      <c r="B13" s="10">
        <v>9.3000000000000007</v>
      </c>
      <c r="C13" s="10">
        <v>9.1999999999999993</v>
      </c>
      <c r="D13" s="10">
        <v>9.4499999999999993</v>
      </c>
      <c r="E13" s="10">
        <v>9.4499999999999993</v>
      </c>
      <c r="F13" s="107">
        <v>9.35</v>
      </c>
      <c r="G13" s="105"/>
      <c r="H13" s="11"/>
      <c r="I13" s="104"/>
      <c r="J13" s="85"/>
    </row>
    <row r="14" spans="1:10">
      <c r="A14" s="9" t="s">
        <v>42</v>
      </c>
      <c r="B14" s="10">
        <v>9.4</v>
      </c>
      <c r="C14" s="10">
        <v>9.3000000000000007</v>
      </c>
      <c r="D14" s="10">
        <v>9.35</v>
      </c>
      <c r="E14" s="10">
        <v>9.5500000000000007</v>
      </c>
      <c r="F14" s="107">
        <v>9.4499999999999993</v>
      </c>
      <c r="G14" s="105"/>
      <c r="H14" s="11"/>
      <c r="I14" s="104"/>
      <c r="J14" s="85"/>
    </row>
    <row r="15" spans="1:10">
      <c r="A15" s="9" t="s">
        <v>43</v>
      </c>
      <c r="B15" s="10">
        <v>8</v>
      </c>
      <c r="C15" s="10">
        <v>8</v>
      </c>
      <c r="D15" s="10">
        <v>8.1999999999999993</v>
      </c>
      <c r="E15" s="10">
        <v>8.5</v>
      </c>
      <c r="F15" s="107">
        <v>8.35</v>
      </c>
      <c r="G15" s="105"/>
      <c r="H15" s="11"/>
      <c r="I15" s="104"/>
      <c r="J15" s="85"/>
    </row>
    <row r="16" spans="1:10">
      <c r="A16" s="9" t="s">
        <v>44</v>
      </c>
      <c r="B16" s="10">
        <v>7.9</v>
      </c>
      <c r="C16" s="10">
        <v>7.95</v>
      </c>
      <c r="D16" s="10">
        <v>8.3000000000000007</v>
      </c>
      <c r="E16" s="10">
        <v>8.25</v>
      </c>
      <c r="F16" s="107">
        <v>8</v>
      </c>
      <c r="G16" s="105"/>
      <c r="H16" s="11"/>
      <c r="I16" s="104"/>
      <c r="J16" s="85"/>
    </row>
    <row r="17" spans="1:10">
      <c r="A17" s="9" t="s">
        <v>45</v>
      </c>
      <c r="B17" s="10">
        <v>7.8</v>
      </c>
      <c r="C17" s="10">
        <v>8</v>
      </c>
      <c r="D17" s="10">
        <v>8.1</v>
      </c>
      <c r="E17" s="10">
        <v>8.4499999999999993</v>
      </c>
      <c r="F17" s="107">
        <v>8.15</v>
      </c>
      <c r="G17" s="105"/>
      <c r="H17" s="11"/>
      <c r="I17" s="104"/>
      <c r="J17" s="85"/>
    </row>
    <row r="18" spans="1:10" ht="13.8" thickBot="1">
      <c r="A18" s="9" t="s">
        <v>46</v>
      </c>
      <c r="B18" s="10">
        <v>10</v>
      </c>
      <c r="C18" s="10">
        <v>10</v>
      </c>
      <c r="D18" s="10">
        <v>9.5</v>
      </c>
      <c r="E18" s="10">
        <v>9.9499999999999993</v>
      </c>
      <c r="F18" s="107">
        <v>9.9</v>
      </c>
      <c r="G18" s="111"/>
      <c r="H18" s="48"/>
      <c r="I18" s="112"/>
      <c r="J18" s="85"/>
    </row>
    <row r="19" spans="1:10" ht="13.8" thickTop="1">
      <c r="G19" s="103"/>
      <c r="H19" s="103"/>
      <c r="I19" s="103"/>
    </row>
    <row r="33" spans="1:9" ht="161.25" customHeight="1"/>
    <row r="40" spans="1:9" ht="16.8" thickBot="1">
      <c r="A40" s="7" t="s">
        <v>23</v>
      </c>
      <c r="B40" s="8"/>
      <c r="C40" s="8"/>
    </row>
    <row r="42" spans="1:9" ht="13.8" thickBot="1">
      <c r="A42" s="14" t="s">
        <v>24</v>
      </c>
      <c r="B42" s="14" t="s">
        <v>25</v>
      </c>
      <c r="C42" s="14" t="s">
        <v>26</v>
      </c>
      <c r="D42" s="14" t="s">
        <v>27</v>
      </c>
      <c r="E42" s="14" t="s">
        <v>28</v>
      </c>
      <c r="F42" s="14" t="s">
        <v>29</v>
      </c>
      <c r="G42" s="14" t="s">
        <v>30</v>
      </c>
      <c r="H42" s="14" t="s">
        <v>5</v>
      </c>
      <c r="I42" s="14" t="s">
        <v>31</v>
      </c>
    </row>
    <row r="43" spans="1:9" ht="13.8" thickTop="1">
      <c r="A43" s="15" t="s">
        <v>32</v>
      </c>
      <c r="B43" s="16">
        <v>9.5500000000000007</v>
      </c>
      <c r="C43" s="16">
        <v>9.4</v>
      </c>
      <c r="D43" s="16">
        <v>9.4499999999999993</v>
      </c>
      <c r="E43" s="16">
        <v>9.6</v>
      </c>
      <c r="F43" s="148">
        <v>9.25</v>
      </c>
      <c r="G43" s="51">
        <f>SUM(B43:F43)-MAX(B43:F43)-MIN(B43:F43)</f>
        <v>28.4</v>
      </c>
      <c r="H43" s="149">
        <f>RANK(G43,$G$43:$G$57)</f>
        <v>5</v>
      </c>
      <c r="I43" s="150" t="str">
        <f>IF(H43&lt;=10,"予選通過","")</f>
        <v>予選通過</v>
      </c>
    </row>
    <row r="44" spans="1:9">
      <c r="A44" s="9" t="s">
        <v>33</v>
      </c>
      <c r="B44" s="10">
        <v>9.75</v>
      </c>
      <c r="C44" s="10">
        <v>9.4499999999999993</v>
      </c>
      <c r="D44" s="10">
        <v>9.85</v>
      </c>
      <c r="E44" s="10">
        <v>9.6</v>
      </c>
      <c r="F44" s="45">
        <v>9.65</v>
      </c>
      <c r="G44" s="151">
        <f t="shared" ref="G44:G57" si="0">SUM(B44:F44)-MAX(B44:F44)-MIN(B44:F44)</f>
        <v>28.999999999999996</v>
      </c>
      <c r="H44" s="11">
        <f t="shared" ref="H44:H57" si="1">RANK(G44,$G$43:$G$57)</f>
        <v>2</v>
      </c>
      <c r="I44" s="152" t="str">
        <f t="shared" ref="I44:I57" si="2">IF(H44&lt;=10,"予選通過","")</f>
        <v>予選通過</v>
      </c>
    </row>
    <row r="45" spans="1:9">
      <c r="A45" s="9" t="s">
        <v>34</v>
      </c>
      <c r="B45" s="10">
        <v>9.1999999999999993</v>
      </c>
      <c r="C45" s="10">
        <v>9.4499999999999993</v>
      </c>
      <c r="D45" s="10">
        <v>9.4</v>
      </c>
      <c r="E45" s="10">
        <v>9.35</v>
      </c>
      <c r="F45" s="45">
        <v>9.5500000000000007</v>
      </c>
      <c r="G45" s="151">
        <f t="shared" si="0"/>
        <v>28.200000000000006</v>
      </c>
      <c r="H45" s="11">
        <f t="shared" si="1"/>
        <v>8</v>
      </c>
      <c r="I45" s="152" t="str">
        <f t="shared" si="2"/>
        <v>予選通過</v>
      </c>
    </row>
    <row r="46" spans="1:9">
      <c r="A46" s="9" t="s">
        <v>35</v>
      </c>
      <c r="B46" s="10">
        <v>8.9</v>
      </c>
      <c r="C46" s="10">
        <v>9</v>
      </c>
      <c r="D46" s="10">
        <v>9.1999999999999993</v>
      </c>
      <c r="E46" s="10">
        <v>9.15</v>
      </c>
      <c r="F46" s="45">
        <v>9.35</v>
      </c>
      <c r="G46" s="151">
        <f t="shared" si="0"/>
        <v>27.35</v>
      </c>
      <c r="H46" s="11">
        <f t="shared" si="1"/>
        <v>12</v>
      </c>
      <c r="I46" s="152" t="str">
        <f t="shared" si="2"/>
        <v/>
      </c>
    </row>
    <row r="47" spans="1:9">
      <c r="A47" s="9" t="s">
        <v>36</v>
      </c>
      <c r="B47" s="10">
        <v>9.8000000000000007</v>
      </c>
      <c r="C47" s="10">
        <v>9.3000000000000007</v>
      </c>
      <c r="D47" s="10">
        <v>9.4499999999999993</v>
      </c>
      <c r="E47" s="10">
        <v>9.85</v>
      </c>
      <c r="F47" s="45">
        <v>9.65</v>
      </c>
      <c r="G47" s="151">
        <f t="shared" si="0"/>
        <v>28.899999999999995</v>
      </c>
      <c r="H47" s="11">
        <f t="shared" si="1"/>
        <v>3</v>
      </c>
      <c r="I47" s="152" t="str">
        <f t="shared" si="2"/>
        <v>予選通過</v>
      </c>
    </row>
    <row r="48" spans="1:9">
      <c r="A48" s="9" t="s">
        <v>37</v>
      </c>
      <c r="B48" s="10">
        <v>9.9</v>
      </c>
      <c r="C48" s="10">
        <v>9.65</v>
      </c>
      <c r="D48" s="10">
        <v>9.5500000000000007</v>
      </c>
      <c r="E48" s="10">
        <v>9.4499999999999993</v>
      </c>
      <c r="F48" s="45">
        <v>9.65</v>
      </c>
      <c r="G48" s="151">
        <f t="shared" si="0"/>
        <v>28.849999999999998</v>
      </c>
      <c r="H48" s="11">
        <f t="shared" si="1"/>
        <v>4</v>
      </c>
      <c r="I48" s="152" t="str">
        <f t="shared" si="2"/>
        <v>予選通過</v>
      </c>
    </row>
    <row r="49" spans="1:9">
      <c r="A49" s="9" t="s">
        <v>38</v>
      </c>
      <c r="B49" s="10">
        <v>9.5</v>
      </c>
      <c r="C49" s="10">
        <v>9.1999999999999993</v>
      </c>
      <c r="D49" s="10">
        <v>9.35</v>
      </c>
      <c r="E49" s="10">
        <v>9.6</v>
      </c>
      <c r="F49" s="45">
        <v>9.4499999999999993</v>
      </c>
      <c r="G49" s="151">
        <f t="shared" si="0"/>
        <v>28.299999999999994</v>
      </c>
      <c r="H49" s="11">
        <f t="shared" si="1"/>
        <v>6</v>
      </c>
      <c r="I49" s="152" t="str">
        <f t="shared" si="2"/>
        <v>予選通過</v>
      </c>
    </row>
    <row r="50" spans="1:9">
      <c r="A50" s="9" t="s">
        <v>39</v>
      </c>
      <c r="B50" s="10">
        <v>9.4499999999999993</v>
      </c>
      <c r="C50" s="10">
        <v>9.3000000000000007</v>
      </c>
      <c r="D50" s="10">
        <v>9.3000000000000007</v>
      </c>
      <c r="E50" s="10">
        <v>9.4</v>
      </c>
      <c r="F50" s="45">
        <v>9.5</v>
      </c>
      <c r="G50" s="151">
        <f t="shared" si="0"/>
        <v>28.150000000000002</v>
      </c>
      <c r="H50" s="11">
        <f t="shared" si="1"/>
        <v>9</v>
      </c>
      <c r="I50" s="152" t="str">
        <f t="shared" si="2"/>
        <v>予選通過</v>
      </c>
    </row>
    <row r="51" spans="1:9">
      <c r="A51" s="9" t="s">
        <v>40</v>
      </c>
      <c r="B51" s="10">
        <v>9.1999999999999993</v>
      </c>
      <c r="C51" s="10">
        <v>9</v>
      </c>
      <c r="D51" s="10">
        <v>9.25</v>
      </c>
      <c r="E51" s="10">
        <v>9.25</v>
      </c>
      <c r="F51" s="45">
        <v>9.0500000000000007</v>
      </c>
      <c r="G51" s="151">
        <f t="shared" si="0"/>
        <v>27.5</v>
      </c>
      <c r="H51" s="11">
        <f t="shared" si="1"/>
        <v>11</v>
      </c>
      <c r="I51" s="152" t="str">
        <f t="shared" si="2"/>
        <v/>
      </c>
    </row>
    <row r="52" spans="1:9">
      <c r="A52" s="9" t="s">
        <v>41</v>
      </c>
      <c r="B52" s="10">
        <v>9.3000000000000007</v>
      </c>
      <c r="C52" s="10">
        <v>9.1999999999999993</v>
      </c>
      <c r="D52" s="10">
        <v>9.4499999999999993</v>
      </c>
      <c r="E52" s="10">
        <v>9.4499999999999993</v>
      </c>
      <c r="F52" s="45">
        <v>9.35</v>
      </c>
      <c r="G52" s="151">
        <f t="shared" si="0"/>
        <v>28.099999999999998</v>
      </c>
      <c r="H52" s="11">
        <f t="shared" si="1"/>
        <v>10</v>
      </c>
      <c r="I52" s="152" t="str">
        <f t="shared" si="2"/>
        <v>予選通過</v>
      </c>
    </row>
    <row r="53" spans="1:9">
      <c r="A53" s="9" t="s">
        <v>42</v>
      </c>
      <c r="B53" s="10">
        <v>9.4</v>
      </c>
      <c r="C53" s="10">
        <v>9.3000000000000007</v>
      </c>
      <c r="D53" s="10">
        <v>9.35</v>
      </c>
      <c r="E53" s="10">
        <v>9.5500000000000007</v>
      </c>
      <c r="F53" s="45">
        <v>9.4499999999999993</v>
      </c>
      <c r="G53" s="151">
        <f t="shared" si="0"/>
        <v>28.200000000000014</v>
      </c>
      <c r="H53" s="11">
        <f t="shared" si="1"/>
        <v>7</v>
      </c>
      <c r="I53" s="152" t="str">
        <f t="shared" si="2"/>
        <v>予選通過</v>
      </c>
    </row>
    <row r="54" spans="1:9">
      <c r="A54" s="9" t="s">
        <v>43</v>
      </c>
      <c r="B54" s="10">
        <v>8</v>
      </c>
      <c r="C54" s="10">
        <v>8</v>
      </c>
      <c r="D54" s="10">
        <v>8.1999999999999993</v>
      </c>
      <c r="E54" s="10">
        <v>8.5</v>
      </c>
      <c r="F54" s="45">
        <v>8.35</v>
      </c>
      <c r="G54" s="151">
        <f t="shared" si="0"/>
        <v>24.550000000000004</v>
      </c>
      <c r="H54" s="11">
        <f t="shared" si="1"/>
        <v>13</v>
      </c>
      <c r="I54" s="152" t="str">
        <f t="shared" si="2"/>
        <v/>
      </c>
    </row>
    <row r="55" spans="1:9">
      <c r="A55" s="9" t="s">
        <v>44</v>
      </c>
      <c r="B55" s="10">
        <v>7.9</v>
      </c>
      <c r="C55" s="10">
        <v>7.95</v>
      </c>
      <c r="D55" s="10">
        <v>8.3000000000000007</v>
      </c>
      <c r="E55" s="10">
        <v>8.25</v>
      </c>
      <c r="F55" s="45">
        <v>8</v>
      </c>
      <c r="G55" s="151">
        <f t="shared" si="0"/>
        <v>24.20000000000001</v>
      </c>
      <c r="H55" s="11">
        <f t="shared" si="1"/>
        <v>15</v>
      </c>
      <c r="I55" s="152" t="str">
        <f t="shared" si="2"/>
        <v/>
      </c>
    </row>
    <row r="56" spans="1:9">
      <c r="A56" s="9" t="s">
        <v>45</v>
      </c>
      <c r="B56" s="10">
        <v>7.8</v>
      </c>
      <c r="C56" s="10">
        <v>8</v>
      </c>
      <c r="D56" s="10">
        <v>8.1</v>
      </c>
      <c r="E56" s="10">
        <v>8.4499999999999993</v>
      </c>
      <c r="F56" s="45">
        <v>8.15</v>
      </c>
      <c r="G56" s="151">
        <f t="shared" si="0"/>
        <v>24.249999999999996</v>
      </c>
      <c r="H56" s="11">
        <f t="shared" si="1"/>
        <v>14</v>
      </c>
      <c r="I56" s="152" t="str">
        <f t="shared" si="2"/>
        <v/>
      </c>
    </row>
    <row r="57" spans="1:9" ht="13.8" thickBot="1">
      <c r="A57" s="9" t="s">
        <v>46</v>
      </c>
      <c r="B57" s="10">
        <v>10</v>
      </c>
      <c r="C57" s="10">
        <v>10</v>
      </c>
      <c r="D57" s="10">
        <v>9.5</v>
      </c>
      <c r="E57" s="10">
        <v>9.9499999999999993</v>
      </c>
      <c r="F57" s="45">
        <v>9.9</v>
      </c>
      <c r="G57" s="53">
        <f t="shared" si="0"/>
        <v>29.85</v>
      </c>
      <c r="H57" s="153">
        <f t="shared" si="1"/>
        <v>1</v>
      </c>
      <c r="I57" s="154" t="str">
        <f t="shared" si="2"/>
        <v>予選通過</v>
      </c>
    </row>
    <row r="58" spans="1:9" ht="13.8" thickTop="1"/>
    <row r="74" spans="1:9" ht="13.8" thickBot="1">
      <c r="A74" s="14" t="s">
        <v>24</v>
      </c>
      <c r="B74" s="14" t="s">
        <v>25</v>
      </c>
      <c r="C74" s="14" t="s">
        <v>26</v>
      </c>
      <c r="D74" s="14" t="s">
        <v>27</v>
      </c>
      <c r="E74" s="14" t="s">
        <v>28</v>
      </c>
      <c r="F74" s="14" t="s">
        <v>29</v>
      </c>
      <c r="G74" s="14" t="s">
        <v>30</v>
      </c>
      <c r="H74" s="14" t="s">
        <v>5</v>
      </c>
      <c r="I74" s="14" t="s">
        <v>31</v>
      </c>
    </row>
    <row r="75" spans="1:9" ht="13.8" thickTop="1">
      <c r="A75" s="15" t="s">
        <v>46</v>
      </c>
      <c r="B75" s="16">
        <v>10</v>
      </c>
      <c r="C75" s="16">
        <v>10</v>
      </c>
      <c r="D75" s="16">
        <v>9.5</v>
      </c>
      <c r="E75" s="16">
        <v>9.9499999999999993</v>
      </c>
      <c r="F75" s="16">
        <v>9.9</v>
      </c>
      <c r="G75" s="20">
        <f t="shared" ref="G75:G89" si="3">SUM(B75:F75)-MAX(B75:F75)-MIN(B75:F75)</f>
        <v>29.85</v>
      </c>
      <c r="H75" s="17">
        <f>RANK(G75,$G$75:$G$89,0)</f>
        <v>1</v>
      </c>
      <c r="I75" s="21" t="str">
        <f t="shared" ref="I75:I89" si="4">IF(H75&lt;=10,"予選通過","")</f>
        <v>予選通過</v>
      </c>
    </row>
    <row r="76" spans="1:9">
      <c r="A76" s="9" t="s">
        <v>33</v>
      </c>
      <c r="B76" s="10">
        <v>9.75</v>
      </c>
      <c r="C76" s="10">
        <v>9.4499999999999993</v>
      </c>
      <c r="D76" s="10">
        <v>9.85</v>
      </c>
      <c r="E76" s="10">
        <v>9.6</v>
      </c>
      <c r="F76" s="10">
        <v>9.65</v>
      </c>
      <c r="G76" s="12">
        <f t="shared" si="3"/>
        <v>28.999999999999996</v>
      </c>
      <c r="H76" s="11">
        <f t="shared" ref="H76:H89" si="5">RANK(G76,$G$75:$G$89,0)</f>
        <v>2</v>
      </c>
      <c r="I76" s="13" t="str">
        <f t="shared" si="4"/>
        <v>予選通過</v>
      </c>
    </row>
    <row r="77" spans="1:9">
      <c r="A77" s="9" t="s">
        <v>36</v>
      </c>
      <c r="B77" s="10">
        <v>9.8000000000000007</v>
      </c>
      <c r="C77" s="10">
        <v>9.3000000000000007</v>
      </c>
      <c r="D77" s="10">
        <v>9.4499999999999993</v>
      </c>
      <c r="E77" s="10">
        <v>9.85</v>
      </c>
      <c r="F77" s="10">
        <v>9.65</v>
      </c>
      <c r="G77" s="12">
        <f t="shared" si="3"/>
        <v>28.899999999999995</v>
      </c>
      <c r="H77" s="11">
        <f t="shared" si="5"/>
        <v>3</v>
      </c>
      <c r="I77" s="13" t="str">
        <f t="shared" si="4"/>
        <v>予選通過</v>
      </c>
    </row>
    <row r="78" spans="1:9">
      <c r="A78" s="9" t="s">
        <v>37</v>
      </c>
      <c r="B78" s="10">
        <v>9.9</v>
      </c>
      <c r="C78" s="10">
        <v>9.65</v>
      </c>
      <c r="D78" s="10">
        <v>9.5500000000000007</v>
      </c>
      <c r="E78" s="10">
        <v>9.4499999999999993</v>
      </c>
      <c r="F78" s="10">
        <v>9.65</v>
      </c>
      <c r="G78" s="12">
        <f t="shared" si="3"/>
        <v>28.849999999999998</v>
      </c>
      <c r="H78" s="11">
        <f t="shared" si="5"/>
        <v>4</v>
      </c>
      <c r="I78" s="13" t="str">
        <f t="shared" si="4"/>
        <v>予選通過</v>
      </c>
    </row>
    <row r="79" spans="1:9">
      <c r="A79" s="9" t="s">
        <v>32</v>
      </c>
      <c r="B79" s="10">
        <v>9.5500000000000007</v>
      </c>
      <c r="C79" s="10">
        <v>9.4</v>
      </c>
      <c r="D79" s="10">
        <v>9.4499999999999993</v>
      </c>
      <c r="E79" s="10">
        <v>9.6</v>
      </c>
      <c r="F79" s="10">
        <v>9.25</v>
      </c>
      <c r="G79" s="12">
        <f t="shared" si="3"/>
        <v>28.4</v>
      </c>
      <c r="H79" s="11">
        <f t="shared" si="5"/>
        <v>5</v>
      </c>
      <c r="I79" s="13" t="str">
        <f t="shared" si="4"/>
        <v>予選通過</v>
      </c>
    </row>
    <row r="80" spans="1:9" ht="13.8" thickBot="1">
      <c r="A80" s="9" t="s">
        <v>38</v>
      </c>
      <c r="B80" s="10">
        <v>9.5</v>
      </c>
      <c r="C80" s="10">
        <v>9.1999999999999993</v>
      </c>
      <c r="D80" s="10">
        <v>9.35</v>
      </c>
      <c r="E80" s="10">
        <v>9.6</v>
      </c>
      <c r="F80" s="10">
        <v>9.4499999999999993</v>
      </c>
      <c r="G80" s="47">
        <f t="shared" si="3"/>
        <v>28.299999999999994</v>
      </c>
      <c r="H80" s="48">
        <f t="shared" si="5"/>
        <v>6</v>
      </c>
      <c r="I80" s="13" t="str">
        <f t="shared" si="4"/>
        <v>予選通過</v>
      </c>
    </row>
    <row r="81" spans="1:10" ht="14.4" thickTop="1" thickBot="1">
      <c r="A81" s="9" t="s">
        <v>42</v>
      </c>
      <c r="B81" s="10">
        <v>9.4</v>
      </c>
      <c r="C81" s="10">
        <v>9.3000000000000007</v>
      </c>
      <c r="D81" s="10">
        <v>9.35</v>
      </c>
      <c r="E81" s="10">
        <v>9.5500000000000007</v>
      </c>
      <c r="F81" s="45">
        <v>9.4499999999999993</v>
      </c>
      <c r="G81" s="51">
        <f t="shared" si="3"/>
        <v>28.200000000000014</v>
      </c>
      <c r="H81" s="52">
        <f t="shared" si="5"/>
        <v>7</v>
      </c>
      <c r="I81" s="55" t="str">
        <f t="shared" si="4"/>
        <v>予選通過</v>
      </c>
      <c r="J81" s="56">
        <f>(G81-G82)*100000000000000</f>
        <v>0.71054273576010019</v>
      </c>
    </row>
    <row r="82" spans="1:10" ht="14.4" thickTop="1" thickBot="1">
      <c r="A82" s="9" t="s">
        <v>34</v>
      </c>
      <c r="B82" s="10">
        <v>9.1999999999999993</v>
      </c>
      <c r="C82" s="10">
        <v>9.4499999999999993</v>
      </c>
      <c r="D82" s="10">
        <v>9.4</v>
      </c>
      <c r="E82" s="10">
        <v>9.35</v>
      </c>
      <c r="F82" s="45">
        <v>9.5500000000000007</v>
      </c>
      <c r="G82" s="53">
        <f t="shared" si="3"/>
        <v>28.200000000000006</v>
      </c>
      <c r="H82" s="54">
        <f t="shared" si="5"/>
        <v>8</v>
      </c>
      <c r="I82" s="46" t="str">
        <f t="shared" si="4"/>
        <v>予選通過</v>
      </c>
    </row>
    <row r="83" spans="1:10" ht="13.8" thickTop="1">
      <c r="A83" s="9" t="s">
        <v>39</v>
      </c>
      <c r="B83" s="10">
        <v>9.4499999999999993</v>
      </c>
      <c r="C83" s="10">
        <v>9.3000000000000007</v>
      </c>
      <c r="D83" s="10">
        <v>9.3000000000000007</v>
      </c>
      <c r="E83" s="10">
        <v>9.4</v>
      </c>
      <c r="F83" s="10">
        <v>9.5</v>
      </c>
      <c r="G83" s="49">
        <f t="shared" si="3"/>
        <v>28.150000000000002</v>
      </c>
      <c r="H83" s="50">
        <f t="shared" si="5"/>
        <v>9</v>
      </c>
      <c r="I83" s="13" t="str">
        <f t="shared" si="4"/>
        <v>予選通過</v>
      </c>
    </row>
    <row r="84" spans="1:10">
      <c r="A84" s="9" t="s">
        <v>41</v>
      </c>
      <c r="B84" s="10">
        <v>9.3000000000000007</v>
      </c>
      <c r="C84" s="10">
        <v>9.1999999999999993</v>
      </c>
      <c r="D84" s="10">
        <v>9.4499999999999993</v>
      </c>
      <c r="E84" s="10">
        <v>9.4499999999999993</v>
      </c>
      <c r="F84" s="10">
        <v>9.35</v>
      </c>
      <c r="G84" s="12">
        <f t="shared" si="3"/>
        <v>28.099999999999998</v>
      </c>
      <c r="H84" s="11">
        <f t="shared" si="5"/>
        <v>10</v>
      </c>
      <c r="I84" s="13" t="str">
        <f t="shared" si="4"/>
        <v>予選通過</v>
      </c>
    </row>
    <row r="85" spans="1:10">
      <c r="A85" s="9" t="s">
        <v>40</v>
      </c>
      <c r="B85" s="10">
        <v>9.1999999999999993</v>
      </c>
      <c r="C85" s="10">
        <v>9</v>
      </c>
      <c r="D85" s="10">
        <v>9.25</v>
      </c>
      <c r="E85" s="10">
        <v>9.25</v>
      </c>
      <c r="F85" s="10">
        <v>9.0500000000000007</v>
      </c>
      <c r="G85" s="12">
        <f t="shared" si="3"/>
        <v>27.5</v>
      </c>
      <c r="H85" s="11">
        <f t="shared" si="5"/>
        <v>11</v>
      </c>
      <c r="I85" s="13" t="str">
        <f t="shared" si="4"/>
        <v/>
      </c>
    </row>
    <row r="86" spans="1:10">
      <c r="A86" s="9" t="s">
        <v>35</v>
      </c>
      <c r="B86" s="10">
        <v>8.9</v>
      </c>
      <c r="C86" s="10">
        <v>9</v>
      </c>
      <c r="D86" s="10">
        <v>9.1999999999999993</v>
      </c>
      <c r="E86" s="10">
        <v>9.15</v>
      </c>
      <c r="F86" s="10">
        <v>9.35</v>
      </c>
      <c r="G86" s="12">
        <f t="shared" si="3"/>
        <v>27.35</v>
      </c>
      <c r="H86" s="11">
        <f t="shared" si="5"/>
        <v>12</v>
      </c>
      <c r="I86" s="13" t="str">
        <f t="shared" si="4"/>
        <v/>
      </c>
    </row>
    <row r="87" spans="1:10">
      <c r="A87" s="9" t="s">
        <v>43</v>
      </c>
      <c r="B87" s="10">
        <v>8</v>
      </c>
      <c r="C87" s="10">
        <v>8</v>
      </c>
      <c r="D87" s="10">
        <v>8.1999999999999993</v>
      </c>
      <c r="E87" s="10">
        <v>8.5</v>
      </c>
      <c r="F87" s="10">
        <v>8.35</v>
      </c>
      <c r="G87" s="12">
        <f t="shared" si="3"/>
        <v>24.550000000000004</v>
      </c>
      <c r="H87" s="11">
        <f t="shared" si="5"/>
        <v>13</v>
      </c>
      <c r="I87" s="13" t="str">
        <f t="shared" si="4"/>
        <v/>
      </c>
    </row>
    <row r="88" spans="1:10">
      <c r="A88" s="9" t="s">
        <v>45</v>
      </c>
      <c r="B88" s="10">
        <v>7.8</v>
      </c>
      <c r="C88" s="10">
        <v>8</v>
      </c>
      <c r="D88" s="10">
        <v>8.1</v>
      </c>
      <c r="E88" s="10">
        <v>8.4499999999999993</v>
      </c>
      <c r="F88" s="10">
        <v>8.15</v>
      </c>
      <c r="G88" s="12">
        <f t="shared" si="3"/>
        <v>24.249999999999996</v>
      </c>
      <c r="H88" s="11">
        <f t="shared" si="5"/>
        <v>14</v>
      </c>
      <c r="I88" s="13" t="str">
        <f t="shared" si="4"/>
        <v/>
      </c>
    </row>
    <row r="89" spans="1:10">
      <c r="A89" s="9" t="s">
        <v>44</v>
      </c>
      <c r="B89" s="10">
        <v>7.9</v>
      </c>
      <c r="C89" s="10">
        <v>7.95</v>
      </c>
      <c r="D89" s="10">
        <v>8.3000000000000007</v>
      </c>
      <c r="E89" s="10">
        <v>8.25</v>
      </c>
      <c r="F89" s="10">
        <v>8</v>
      </c>
      <c r="G89" s="12">
        <f t="shared" si="3"/>
        <v>24.20000000000001</v>
      </c>
      <c r="H89" s="11">
        <f t="shared" si="5"/>
        <v>15</v>
      </c>
      <c r="I89" s="13" t="str">
        <f t="shared" si="4"/>
        <v/>
      </c>
    </row>
    <row r="95" spans="1:10" ht="13.8" thickBot="1">
      <c r="A95" s="14" t="s">
        <v>24</v>
      </c>
      <c r="B95" s="14" t="s">
        <v>25</v>
      </c>
      <c r="C95" s="14" t="s">
        <v>26</v>
      </c>
      <c r="D95" s="14" t="s">
        <v>27</v>
      </c>
      <c r="E95" s="14" t="s">
        <v>28</v>
      </c>
      <c r="F95" s="14" t="s">
        <v>29</v>
      </c>
      <c r="G95" s="14" t="s">
        <v>30</v>
      </c>
      <c r="H95" s="14" t="s">
        <v>5</v>
      </c>
      <c r="I95" s="14" t="s">
        <v>31</v>
      </c>
    </row>
    <row r="96" spans="1:10" ht="13.8" thickTop="1">
      <c r="A96" s="15" t="s">
        <v>46</v>
      </c>
      <c r="B96" s="16">
        <v>10</v>
      </c>
      <c r="C96" s="16">
        <v>10</v>
      </c>
      <c r="D96" s="16">
        <v>9.5</v>
      </c>
      <c r="E96" s="16">
        <v>9.9499999999999993</v>
      </c>
      <c r="F96" s="16">
        <v>9.9</v>
      </c>
      <c r="G96" s="20">
        <f>ROUNDDOWN(SUM(B96:F96)-MAX(B96:F96)-MIN(B96:F96),2)</f>
        <v>29.85</v>
      </c>
      <c r="H96" s="17">
        <f>RANK(G96,$G$96:$G$110,0)</f>
        <v>1</v>
      </c>
      <c r="I96" s="21" t="str">
        <f t="shared" ref="I96:I110" si="6">IF(H96&lt;=10,"予選通過","")</f>
        <v>予選通過</v>
      </c>
    </row>
    <row r="97" spans="1:9">
      <c r="A97" s="9" t="s">
        <v>33</v>
      </c>
      <c r="B97" s="10">
        <v>9.75</v>
      </c>
      <c r="C97" s="10">
        <v>9.4499999999999993</v>
      </c>
      <c r="D97" s="10">
        <v>9.85</v>
      </c>
      <c r="E97" s="10">
        <v>9.6</v>
      </c>
      <c r="F97" s="10">
        <v>9.65</v>
      </c>
      <c r="G97" s="12">
        <f t="shared" ref="G97:G110" si="7">ROUNDDOWN(SUM(B97:F97)-MAX(B97:F97)-MIN(B97:F97),2)</f>
        <v>29</v>
      </c>
      <c r="H97" s="11">
        <f t="shared" ref="H97:H110" si="8">RANK(G97,$G$96:$G$110,0)</f>
        <v>2</v>
      </c>
      <c r="I97" s="13" t="str">
        <f t="shared" si="6"/>
        <v>予選通過</v>
      </c>
    </row>
    <row r="98" spans="1:9">
      <c r="A98" s="9" t="s">
        <v>36</v>
      </c>
      <c r="B98" s="10">
        <v>9.8000000000000007</v>
      </c>
      <c r="C98" s="10">
        <v>9.3000000000000007</v>
      </c>
      <c r="D98" s="10">
        <v>9.4499999999999993</v>
      </c>
      <c r="E98" s="10">
        <v>9.85</v>
      </c>
      <c r="F98" s="10">
        <v>9.65</v>
      </c>
      <c r="G98" s="12">
        <f t="shared" si="7"/>
        <v>28.9</v>
      </c>
      <c r="H98" s="11">
        <f t="shared" si="8"/>
        <v>3</v>
      </c>
      <c r="I98" s="13" t="str">
        <f t="shared" si="6"/>
        <v>予選通過</v>
      </c>
    </row>
    <row r="99" spans="1:9">
      <c r="A99" s="9" t="s">
        <v>37</v>
      </c>
      <c r="B99" s="10">
        <v>9.9</v>
      </c>
      <c r="C99" s="10">
        <v>9.65</v>
      </c>
      <c r="D99" s="10">
        <v>9.5500000000000007</v>
      </c>
      <c r="E99" s="10">
        <v>9.4499999999999993</v>
      </c>
      <c r="F99" s="10">
        <v>9.65</v>
      </c>
      <c r="G99" s="12">
        <f t="shared" si="7"/>
        <v>28.85</v>
      </c>
      <c r="H99" s="11">
        <f t="shared" si="8"/>
        <v>4</v>
      </c>
      <c r="I99" s="13" t="str">
        <f t="shared" si="6"/>
        <v>予選通過</v>
      </c>
    </row>
    <row r="100" spans="1:9">
      <c r="A100" s="9" t="s">
        <v>32</v>
      </c>
      <c r="B100" s="10">
        <v>9.5500000000000007</v>
      </c>
      <c r="C100" s="10">
        <v>9.4</v>
      </c>
      <c r="D100" s="10">
        <v>9.4499999999999993</v>
      </c>
      <c r="E100" s="10">
        <v>9.6</v>
      </c>
      <c r="F100" s="10">
        <v>9.25</v>
      </c>
      <c r="G100" s="12">
        <f t="shared" si="7"/>
        <v>28.4</v>
      </c>
      <c r="H100" s="11">
        <f t="shared" si="8"/>
        <v>5</v>
      </c>
      <c r="I100" s="13" t="str">
        <f t="shared" si="6"/>
        <v>予選通過</v>
      </c>
    </row>
    <row r="101" spans="1:9" ht="13.8" thickBot="1">
      <c r="A101" s="9" t="s">
        <v>38</v>
      </c>
      <c r="B101" s="10">
        <v>9.5</v>
      </c>
      <c r="C101" s="10">
        <v>9.1999999999999993</v>
      </c>
      <c r="D101" s="10">
        <v>9.35</v>
      </c>
      <c r="E101" s="10">
        <v>9.6</v>
      </c>
      <c r="F101" s="10">
        <v>9.4499999999999993</v>
      </c>
      <c r="G101" s="47">
        <f t="shared" si="7"/>
        <v>28.3</v>
      </c>
      <c r="H101" s="48">
        <f t="shared" si="8"/>
        <v>6</v>
      </c>
      <c r="I101" s="13" t="str">
        <f t="shared" si="6"/>
        <v>予選通過</v>
      </c>
    </row>
    <row r="102" spans="1:9" ht="13.8" thickTop="1">
      <c r="A102" s="9" t="s">
        <v>42</v>
      </c>
      <c r="B102" s="10">
        <v>9.4</v>
      </c>
      <c r="C102" s="10">
        <v>9.3000000000000007</v>
      </c>
      <c r="D102" s="10">
        <v>9.35</v>
      </c>
      <c r="E102" s="10">
        <v>9.5500000000000007</v>
      </c>
      <c r="F102" s="45">
        <v>9.4499999999999993</v>
      </c>
      <c r="G102" s="51">
        <f t="shared" si="7"/>
        <v>28.2</v>
      </c>
      <c r="H102" s="52">
        <f t="shared" si="8"/>
        <v>7</v>
      </c>
      <c r="I102" s="13" t="str">
        <f t="shared" si="6"/>
        <v>予選通過</v>
      </c>
    </row>
    <row r="103" spans="1:9" ht="13.8" thickBot="1">
      <c r="A103" s="9" t="s">
        <v>34</v>
      </c>
      <c r="B103" s="10">
        <v>9.1999999999999993</v>
      </c>
      <c r="C103" s="10">
        <v>9.4499999999999993</v>
      </c>
      <c r="D103" s="10">
        <v>9.4</v>
      </c>
      <c r="E103" s="10">
        <v>9.35</v>
      </c>
      <c r="F103" s="45">
        <v>9.5500000000000007</v>
      </c>
      <c r="G103" s="53">
        <f t="shared" si="7"/>
        <v>28.2</v>
      </c>
      <c r="H103" s="54">
        <f t="shared" si="8"/>
        <v>7</v>
      </c>
      <c r="I103" s="46" t="str">
        <f t="shared" si="6"/>
        <v>予選通過</v>
      </c>
    </row>
    <row r="104" spans="1:9" ht="13.8" thickTop="1">
      <c r="A104" s="9" t="s">
        <v>39</v>
      </c>
      <c r="B104" s="10">
        <v>9.4499999999999993</v>
      </c>
      <c r="C104" s="10">
        <v>9.3000000000000007</v>
      </c>
      <c r="D104" s="10">
        <v>9.3000000000000007</v>
      </c>
      <c r="E104" s="10">
        <v>9.4</v>
      </c>
      <c r="F104" s="10">
        <v>9.5</v>
      </c>
      <c r="G104" s="49">
        <f t="shared" si="7"/>
        <v>28.15</v>
      </c>
      <c r="H104" s="50">
        <f t="shared" si="8"/>
        <v>9</v>
      </c>
      <c r="I104" s="13" t="str">
        <f t="shared" si="6"/>
        <v>予選通過</v>
      </c>
    </row>
    <row r="105" spans="1:9">
      <c r="A105" s="9" t="s">
        <v>41</v>
      </c>
      <c r="B105" s="10">
        <v>9.3000000000000007</v>
      </c>
      <c r="C105" s="10">
        <v>9.1999999999999993</v>
      </c>
      <c r="D105" s="10">
        <v>9.4499999999999993</v>
      </c>
      <c r="E105" s="10">
        <v>9.4499999999999993</v>
      </c>
      <c r="F105" s="10">
        <v>9.35</v>
      </c>
      <c r="G105" s="12">
        <f t="shared" si="7"/>
        <v>28.1</v>
      </c>
      <c r="H105" s="11">
        <f t="shared" si="8"/>
        <v>10</v>
      </c>
      <c r="I105" s="13" t="str">
        <f t="shared" si="6"/>
        <v>予選通過</v>
      </c>
    </row>
    <row r="106" spans="1:9">
      <c r="A106" s="9" t="s">
        <v>40</v>
      </c>
      <c r="B106" s="10">
        <v>9.1999999999999993</v>
      </c>
      <c r="C106" s="10">
        <v>9</v>
      </c>
      <c r="D106" s="10">
        <v>9.25</v>
      </c>
      <c r="E106" s="10">
        <v>9.25</v>
      </c>
      <c r="F106" s="10">
        <v>9.0500000000000007</v>
      </c>
      <c r="G106" s="12">
        <f t="shared" si="7"/>
        <v>27.5</v>
      </c>
      <c r="H106" s="11">
        <f t="shared" si="8"/>
        <v>11</v>
      </c>
      <c r="I106" s="13" t="str">
        <f t="shared" si="6"/>
        <v/>
      </c>
    </row>
    <row r="107" spans="1:9">
      <c r="A107" s="9" t="s">
        <v>35</v>
      </c>
      <c r="B107" s="10">
        <v>8.9</v>
      </c>
      <c r="C107" s="10">
        <v>9</v>
      </c>
      <c r="D107" s="10">
        <v>9.1999999999999993</v>
      </c>
      <c r="E107" s="10">
        <v>9.15</v>
      </c>
      <c r="F107" s="10">
        <v>9.35</v>
      </c>
      <c r="G107" s="12">
        <f t="shared" si="7"/>
        <v>27.35</v>
      </c>
      <c r="H107" s="11">
        <f t="shared" si="8"/>
        <v>12</v>
      </c>
      <c r="I107" s="13" t="str">
        <f t="shared" si="6"/>
        <v/>
      </c>
    </row>
    <row r="108" spans="1:9">
      <c r="A108" s="9" t="s">
        <v>43</v>
      </c>
      <c r="B108" s="10">
        <v>8</v>
      </c>
      <c r="C108" s="10">
        <v>8</v>
      </c>
      <c r="D108" s="10">
        <v>8.1999999999999993</v>
      </c>
      <c r="E108" s="10">
        <v>8.5</v>
      </c>
      <c r="F108" s="10">
        <v>8.35</v>
      </c>
      <c r="G108" s="12">
        <f t="shared" si="7"/>
        <v>24.55</v>
      </c>
      <c r="H108" s="11">
        <f t="shared" si="8"/>
        <v>13</v>
      </c>
      <c r="I108" s="13" t="str">
        <f t="shared" si="6"/>
        <v/>
      </c>
    </row>
    <row r="109" spans="1:9">
      <c r="A109" s="9" t="s">
        <v>45</v>
      </c>
      <c r="B109" s="10">
        <v>7.8</v>
      </c>
      <c r="C109" s="10">
        <v>8</v>
      </c>
      <c r="D109" s="10">
        <v>8.1</v>
      </c>
      <c r="E109" s="10">
        <v>8.4499999999999993</v>
      </c>
      <c r="F109" s="10">
        <v>8.15</v>
      </c>
      <c r="G109" s="12">
        <f t="shared" si="7"/>
        <v>24.25</v>
      </c>
      <c r="H109" s="11">
        <f t="shared" si="8"/>
        <v>14</v>
      </c>
      <c r="I109" s="13" t="str">
        <f t="shared" si="6"/>
        <v/>
      </c>
    </row>
    <row r="110" spans="1:9">
      <c r="A110" s="9" t="s">
        <v>44</v>
      </c>
      <c r="B110" s="10">
        <v>7.9</v>
      </c>
      <c r="C110" s="10">
        <v>7.95</v>
      </c>
      <c r="D110" s="10">
        <v>8.3000000000000007</v>
      </c>
      <c r="E110" s="10">
        <v>8.25</v>
      </c>
      <c r="F110" s="10">
        <v>8</v>
      </c>
      <c r="G110" s="12">
        <f t="shared" si="7"/>
        <v>24.2</v>
      </c>
      <c r="H110" s="11">
        <f t="shared" si="8"/>
        <v>15</v>
      </c>
      <c r="I110" s="13" t="str">
        <f t="shared" si="6"/>
        <v/>
      </c>
    </row>
  </sheetData>
  <phoneticPr fontId="2"/>
  <pageMargins left="0.75" right="0.75" top="1" bottom="1" header="0.51200000000000001" footer="0.51200000000000001"/>
  <pageSetup paperSize="9" orientation="portrait" horizontalDpi="0" verticalDpi="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3"/>
  </sheetPr>
  <dimension ref="A1:E77"/>
  <sheetViews>
    <sheetView showGridLines="0" workbookViewId="0"/>
  </sheetViews>
  <sheetFormatPr defaultRowHeight="13.2"/>
  <cols>
    <col min="1" max="1" width="11.88671875" customWidth="1"/>
    <col min="2" max="2" width="11.6640625" bestFit="1" customWidth="1"/>
    <col min="3" max="3" width="15.109375" customWidth="1"/>
    <col min="4" max="4" width="44.6640625" customWidth="1"/>
  </cols>
  <sheetData>
    <row r="1" spans="1:5">
      <c r="B1" t="s">
        <v>152</v>
      </c>
      <c r="C1" s="1">
        <v>41237</v>
      </c>
    </row>
    <row r="2" spans="1:5" ht="19.2">
      <c r="A2" s="37" t="s">
        <v>71</v>
      </c>
    </row>
    <row r="3" spans="1:5" ht="13.8" thickBot="1">
      <c r="A3" s="11" t="s">
        <v>72</v>
      </c>
      <c r="B3" s="11" t="s">
        <v>73</v>
      </c>
      <c r="C3" s="117" t="s">
        <v>153</v>
      </c>
    </row>
    <row r="4" spans="1:5" ht="13.8" thickTop="1">
      <c r="A4" s="2" t="s">
        <v>151</v>
      </c>
      <c r="B4" s="114">
        <v>18268</v>
      </c>
      <c r="C4" s="115"/>
      <c r="D4" s="85"/>
    </row>
    <row r="5" spans="1:5">
      <c r="A5" s="2" t="s">
        <v>150</v>
      </c>
      <c r="B5" s="114">
        <v>22163</v>
      </c>
      <c r="C5" s="113"/>
      <c r="D5" s="85"/>
    </row>
    <row r="6" spans="1:5">
      <c r="A6" s="2" t="s">
        <v>149</v>
      </c>
      <c r="B6" s="114">
        <v>19164</v>
      </c>
      <c r="C6" s="113"/>
      <c r="D6" s="85"/>
    </row>
    <row r="7" spans="1:5">
      <c r="A7" s="2" t="s">
        <v>74</v>
      </c>
      <c r="B7" s="114">
        <v>26271</v>
      </c>
      <c r="C7" s="113"/>
      <c r="D7" s="85"/>
    </row>
    <row r="8" spans="1:5" ht="13.8" thickBot="1">
      <c r="A8" s="2" t="s">
        <v>75</v>
      </c>
      <c r="B8" s="114">
        <v>19693</v>
      </c>
      <c r="C8" s="116"/>
      <c r="D8" s="85"/>
    </row>
    <row r="9" spans="1:5" ht="13.8" thickTop="1">
      <c r="C9" s="103"/>
    </row>
    <row r="14" spans="1:5" ht="14.4">
      <c r="E14" s="36"/>
    </row>
    <row r="40" spans="1:3">
      <c r="B40" t="s">
        <v>70</v>
      </c>
      <c r="C40" s="1">
        <f>C1</f>
        <v>41237</v>
      </c>
    </row>
    <row r="41" spans="1:3" ht="19.2">
      <c r="A41" s="37" t="s">
        <v>71</v>
      </c>
    </row>
    <row r="42" spans="1:3" ht="13.8" thickBot="1">
      <c r="A42" s="11" t="s">
        <v>72</v>
      </c>
      <c r="B42" s="11" t="s">
        <v>73</v>
      </c>
      <c r="C42" s="117" t="s">
        <v>153</v>
      </c>
    </row>
    <row r="43" spans="1:3" ht="13.8" thickTop="1">
      <c r="A43" s="2" t="s">
        <v>151</v>
      </c>
      <c r="B43" s="38">
        <f>B4</f>
        <v>18268</v>
      </c>
      <c r="C43" s="3"/>
    </row>
    <row r="44" spans="1:3">
      <c r="A44" s="2" t="s">
        <v>150</v>
      </c>
      <c r="B44" s="38">
        <f>B5</f>
        <v>22163</v>
      </c>
      <c r="C44" s="3"/>
    </row>
    <row r="45" spans="1:3">
      <c r="A45" s="2" t="s">
        <v>149</v>
      </c>
      <c r="B45" s="38">
        <f>B6</f>
        <v>19164</v>
      </c>
      <c r="C45" s="3"/>
    </row>
    <row r="46" spans="1:3">
      <c r="A46" s="2" t="s">
        <v>74</v>
      </c>
      <c r="B46" s="38">
        <f>B7</f>
        <v>26271</v>
      </c>
      <c r="C46" s="3"/>
    </row>
    <row r="47" spans="1:3">
      <c r="A47" s="2" t="s">
        <v>75</v>
      </c>
      <c r="B47" s="38">
        <f>B8</f>
        <v>19693</v>
      </c>
      <c r="C47" s="3"/>
    </row>
    <row r="49" spans="4:4" ht="14.4">
      <c r="D49" s="39" t="s">
        <v>76</v>
      </c>
    </row>
    <row r="50" spans="4:4" ht="14.4">
      <c r="D50" s="39" t="s">
        <v>78</v>
      </c>
    </row>
    <row r="51" spans="4:4">
      <c r="D51" s="40" t="s">
        <v>77</v>
      </c>
    </row>
    <row r="70" spans="1:3">
      <c r="B70" t="s">
        <v>70</v>
      </c>
      <c r="C70" s="1">
        <f>C1</f>
        <v>41237</v>
      </c>
    </row>
    <row r="71" spans="1:3" ht="19.2">
      <c r="A71" s="37" t="s">
        <v>71</v>
      </c>
    </row>
    <row r="72" spans="1:3" ht="13.8" thickBot="1">
      <c r="A72" s="11" t="s">
        <v>72</v>
      </c>
      <c r="B72" s="11" t="s">
        <v>73</v>
      </c>
      <c r="C72" s="117" t="s">
        <v>153</v>
      </c>
    </row>
    <row r="73" spans="1:3" ht="13.8" thickTop="1">
      <c r="A73" s="2" t="s">
        <v>151</v>
      </c>
      <c r="B73" s="38">
        <f>B4</f>
        <v>18268</v>
      </c>
      <c r="C73" s="3" t="str">
        <f>IF(MONTH(C$70)=MONTH(B73),"○","")</f>
        <v/>
      </c>
    </row>
    <row r="74" spans="1:3">
      <c r="A74" s="2" t="s">
        <v>150</v>
      </c>
      <c r="B74" s="38">
        <f>B5</f>
        <v>22163</v>
      </c>
      <c r="C74" s="3" t="str">
        <f>IF(MONTH(C$70)=MONTH(B74),"○","")</f>
        <v/>
      </c>
    </row>
    <row r="75" spans="1:3">
      <c r="A75" s="2" t="s">
        <v>149</v>
      </c>
      <c r="B75" s="38">
        <f>B6</f>
        <v>19164</v>
      </c>
      <c r="C75" s="3" t="str">
        <f>IF(MONTH(C$70)=MONTH(B75),"○","")</f>
        <v/>
      </c>
    </row>
    <row r="76" spans="1:3">
      <c r="A76" s="2" t="s">
        <v>74</v>
      </c>
      <c r="B76" s="38">
        <f>B7</f>
        <v>26271</v>
      </c>
      <c r="C76" s="3" t="str">
        <f>IF(MONTH(C$70)=MONTH(B76),"○","")</f>
        <v/>
      </c>
    </row>
    <row r="77" spans="1:3">
      <c r="A77" s="2" t="s">
        <v>75</v>
      </c>
      <c r="B77" s="38">
        <f>B8</f>
        <v>19693</v>
      </c>
      <c r="C77" s="3" t="str">
        <f>IF(MONTH(C$70)=MONTH(B77),"○","")</f>
        <v>○</v>
      </c>
    </row>
  </sheetData>
  <phoneticPr fontId="2"/>
  <pageMargins left="0.75" right="0.75" top="1" bottom="1" header="0.51200000000000001" footer="0.51200000000000001"/>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1"/>
  </sheetPr>
  <dimension ref="B3:F61"/>
  <sheetViews>
    <sheetView workbookViewId="0"/>
  </sheetViews>
  <sheetFormatPr defaultColWidth="9" defaultRowHeight="13.2"/>
  <cols>
    <col min="1" max="1" width="9" style="35"/>
    <col min="2" max="2" width="10.21875" style="35" bestFit="1" customWidth="1"/>
    <col min="3" max="4" width="6.21875" style="35" customWidth="1"/>
    <col min="5" max="16384" width="9" style="35"/>
  </cols>
  <sheetData>
    <row r="3" spans="2:6" ht="16.5" customHeight="1">
      <c r="E3" s="60" t="s">
        <v>131</v>
      </c>
    </row>
    <row r="4" spans="2:6" ht="13.8" thickBot="1">
      <c r="B4" s="57" t="s">
        <v>1</v>
      </c>
      <c r="C4" s="57" t="s">
        <v>3</v>
      </c>
      <c r="D4" s="57" t="s">
        <v>4</v>
      </c>
      <c r="E4" s="123" t="s">
        <v>148</v>
      </c>
    </row>
    <row r="5" spans="2:6" ht="13.8" thickTop="1">
      <c r="B5" s="58" t="s">
        <v>6</v>
      </c>
      <c r="C5" s="58">
        <v>79</v>
      </c>
      <c r="D5" s="120">
        <v>60</v>
      </c>
      <c r="E5" s="122"/>
      <c r="F5" s="118"/>
    </row>
    <row r="6" spans="2:6">
      <c r="B6" s="59" t="s">
        <v>7</v>
      </c>
      <c r="C6" s="59">
        <v>75</v>
      </c>
      <c r="D6" s="121">
        <v>56</v>
      </c>
      <c r="E6" s="119"/>
      <c r="F6" s="118"/>
    </row>
    <row r="7" spans="2:6">
      <c r="B7" s="59" t="s">
        <v>8</v>
      </c>
      <c r="C7" s="59">
        <v>66</v>
      </c>
      <c r="D7" s="121">
        <v>69</v>
      </c>
      <c r="E7" s="119"/>
      <c r="F7" s="118"/>
    </row>
    <row r="8" spans="2:6">
      <c r="B8" s="59" t="s">
        <v>9</v>
      </c>
      <c r="C8" s="59">
        <v>48</v>
      </c>
      <c r="D8" s="121">
        <v>26</v>
      </c>
      <c r="E8" s="119"/>
      <c r="F8" s="118"/>
    </row>
    <row r="9" spans="2:6">
      <c r="B9" s="59" t="s">
        <v>10</v>
      </c>
      <c r="C9" s="59">
        <v>76</v>
      </c>
      <c r="D9" s="121">
        <v>90</v>
      </c>
      <c r="E9" s="119"/>
      <c r="F9" s="118"/>
    </row>
    <row r="10" spans="2:6">
      <c r="B10" s="59" t="s">
        <v>11</v>
      </c>
      <c r="C10" s="59">
        <v>39</v>
      </c>
      <c r="D10" s="121">
        <v>23</v>
      </c>
      <c r="E10" s="119"/>
      <c r="F10" s="118"/>
    </row>
    <row r="11" spans="2:6">
      <c r="B11" s="59" t="s">
        <v>12</v>
      </c>
      <c r="C11" s="59">
        <v>63</v>
      </c>
      <c r="D11" s="121">
        <v>87</v>
      </c>
      <c r="E11" s="119"/>
      <c r="F11" s="118"/>
    </row>
    <row r="12" spans="2:6">
      <c r="B12" s="59" t="s">
        <v>13</v>
      </c>
      <c r="C12" s="59">
        <v>79</v>
      </c>
      <c r="D12" s="121">
        <v>45</v>
      </c>
      <c r="E12" s="119"/>
      <c r="F12" s="118"/>
    </row>
    <row r="13" spans="2:6">
      <c r="B13" s="59" t="s">
        <v>14</v>
      </c>
      <c r="C13" s="59">
        <v>31</v>
      </c>
      <c r="D13" s="121">
        <v>61</v>
      </c>
      <c r="E13" s="119"/>
      <c r="F13" s="118"/>
    </row>
    <row r="14" spans="2:6">
      <c r="B14" s="59" t="s">
        <v>15</v>
      </c>
      <c r="C14" s="59">
        <v>58</v>
      </c>
      <c r="D14" s="121">
        <v>90</v>
      </c>
      <c r="E14" s="119"/>
      <c r="F14" s="118"/>
    </row>
    <row r="15" spans="2:6">
      <c r="B15" s="59" t="s">
        <v>16</v>
      </c>
      <c r="C15" s="59">
        <v>49</v>
      </c>
      <c r="D15" s="121">
        <v>46</v>
      </c>
      <c r="E15" s="119"/>
      <c r="F15" s="118"/>
    </row>
    <row r="16" spans="2:6">
      <c r="B16" s="59" t="s">
        <v>17</v>
      </c>
      <c r="C16" s="59">
        <v>62</v>
      </c>
      <c r="D16" s="121">
        <v>72</v>
      </c>
      <c r="E16" s="119"/>
      <c r="F16" s="118"/>
    </row>
    <row r="17" spans="2:6">
      <c r="B17" s="59" t="s">
        <v>18</v>
      </c>
      <c r="C17" s="59">
        <v>50</v>
      </c>
      <c r="D17" s="121">
        <v>73</v>
      </c>
      <c r="E17" s="119"/>
      <c r="F17" s="118"/>
    </row>
    <row r="18" spans="2:6" ht="13.8" thickBot="1">
      <c r="B18" s="59" t="s">
        <v>19</v>
      </c>
      <c r="C18" s="59">
        <v>80</v>
      </c>
      <c r="D18" s="121">
        <v>93</v>
      </c>
      <c r="E18" s="124"/>
      <c r="F18" s="118"/>
    </row>
    <row r="19" spans="2:6" ht="13.8" thickTop="1">
      <c r="E19" s="125"/>
    </row>
    <row r="46" spans="2:5">
      <c r="E46" s="60" t="s">
        <v>131</v>
      </c>
    </row>
    <row r="47" spans="2:5" ht="13.8" thickBot="1">
      <c r="B47" s="57" t="s">
        <v>1</v>
      </c>
      <c r="C47" s="57" t="s">
        <v>3</v>
      </c>
      <c r="D47" s="57" t="s">
        <v>4</v>
      </c>
      <c r="E47" s="123" t="s">
        <v>154</v>
      </c>
    </row>
    <row r="48" spans="2:5" ht="13.8" thickTop="1">
      <c r="B48" s="58" t="s">
        <v>6</v>
      </c>
      <c r="C48" s="58">
        <v>79</v>
      </c>
      <c r="D48" s="120">
        <v>60</v>
      </c>
      <c r="E48" s="122">
        <f>IF(E47="合計",SUM(C48:D48),AVERAGE(C48:D48))</f>
        <v>139</v>
      </c>
    </row>
    <row r="49" spans="2:5">
      <c r="B49" s="59" t="s">
        <v>7</v>
      </c>
      <c r="C49" s="59">
        <v>75</v>
      </c>
      <c r="D49" s="121">
        <v>56</v>
      </c>
      <c r="E49" s="122">
        <f t="shared" ref="E49:E61" si="0">IF(E48="合計",SUM(C49:D49),AVERAGE(C49:D49))</f>
        <v>65.5</v>
      </c>
    </row>
    <row r="50" spans="2:5">
      <c r="B50" s="59" t="s">
        <v>8</v>
      </c>
      <c r="C50" s="59">
        <v>66</v>
      </c>
      <c r="D50" s="121">
        <v>69</v>
      </c>
      <c r="E50" s="122">
        <f t="shared" si="0"/>
        <v>67.5</v>
      </c>
    </row>
    <row r="51" spans="2:5">
      <c r="B51" s="59" t="s">
        <v>9</v>
      </c>
      <c r="C51" s="59">
        <v>48</v>
      </c>
      <c r="D51" s="121">
        <v>26</v>
      </c>
      <c r="E51" s="122">
        <f t="shared" si="0"/>
        <v>37</v>
      </c>
    </row>
    <row r="52" spans="2:5">
      <c r="B52" s="59" t="s">
        <v>10</v>
      </c>
      <c r="C52" s="59">
        <v>76</v>
      </c>
      <c r="D52" s="121">
        <v>90</v>
      </c>
      <c r="E52" s="122">
        <f t="shared" si="0"/>
        <v>83</v>
      </c>
    </row>
    <row r="53" spans="2:5">
      <c r="B53" s="59" t="s">
        <v>11</v>
      </c>
      <c r="C53" s="59">
        <v>39</v>
      </c>
      <c r="D53" s="121">
        <v>23</v>
      </c>
      <c r="E53" s="122">
        <f t="shared" si="0"/>
        <v>31</v>
      </c>
    </row>
    <row r="54" spans="2:5">
      <c r="B54" s="59" t="s">
        <v>12</v>
      </c>
      <c r="C54" s="59">
        <v>63</v>
      </c>
      <c r="D54" s="121">
        <v>87</v>
      </c>
      <c r="E54" s="122">
        <f t="shared" si="0"/>
        <v>75</v>
      </c>
    </row>
    <row r="55" spans="2:5">
      <c r="B55" s="59" t="s">
        <v>13</v>
      </c>
      <c r="C55" s="59">
        <v>79</v>
      </c>
      <c r="D55" s="121">
        <v>45</v>
      </c>
      <c r="E55" s="122">
        <f t="shared" si="0"/>
        <v>62</v>
      </c>
    </row>
    <row r="56" spans="2:5">
      <c r="B56" s="59" t="s">
        <v>14</v>
      </c>
      <c r="C56" s="59">
        <v>31</v>
      </c>
      <c r="D56" s="121">
        <v>61</v>
      </c>
      <c r="E56" s="122">
        <f t="shared" si="0"/>
        <v>46</v>
      </c>
    </row>
    <row r="57" spans="2:5">
      <c r="B57" s="59" t="s">
        <v>15</v>
      </c>
      <c r="C57" s="59">
        <v>58</v>
      </c>
      <c r="D57" s="121">
        <v>90</v>
      </c>
      <c r="E57" s="122">
        <f t="shared" si="0"/>
        <v>74</v>
      </c>
    </row>
    <row r="58" spans="2:5">
      <c r="B58" s="59" t="s">
        <v>16</v>
      </c>
      <c r="C58" s="59">
        <v>49</v>
      </c>
      <c r="D58" s="121">
        <v>46</v>
      </c>
      <c r="E58" s="122">
        <f t="shared" si="0"/>
        <v>47.5</v>
      </c>
    </row>
    <row r="59" spans="2:5">
      <c r="B59" s="59" t="s">
        <v>17</v>
      </c>
      <c r="C59" s="59">
        <v>62</v>
      </c>
      <c r="D59" s="121">
        <v>72</v>
      </c>
      <c r="E59" s="122">
        <f t="shared" si="0"/>
        <v>67</v>
      </c>
    </row>
    <row r="60" spans="2:5">
      <c r="B60" s="59" t="s">
        <v>18</v>
      </c>
      <c r="C60" s="59">
        <v>50</v>
      </c>
      <c r="D60" s="121">
        <v>73</v>
      </c>
      <c r="E60" s="122">
        <f t="shared" si="0"/>
        <v>61.5</v>
      </c>
    </row>
    <row r="61" spans="2:5">
      <c r="B61" s="59" t="s">
        <v>19</v>
      </c>
      <c r="C61" s="59">
        <v>80</v>
      </c>
      <c r="D61" s="121">
        <v>93</v>
      </c>
      <c r="E61" s="122">
        <f t="shared" si="0"/>
        <v>86.5</v>
      </c>
    </row>
  </sheetData>
  <phoneticPr fontId="2"/>
  <dataValidations count="2">
    <dataValidation type="list" imeMode="hiragana" allowBlank="1" showInputMessage="1" showErrorMessage="1" sqref="E4">
      <formula1>"合計,平均"</formula1>
    </dataValidation>
    <dataValidation type="list" imeMode="hiragana" allowBlank="1" showInputMessage="1" showErrorMessage="1" sqref="E47">
      <formula1>"合計,平均"</formula1>
    </dataValidation>
  </dataValidations>
  <pageMargins left="0.75" right="0.75" top="1" bottom="1" header="0.51200000000000001" footer="0.51200000000000001"/>
  <pageSetup paperSize="9" orientation="portrait" verticalDpi="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B2:L19"/>
  <sheetViews>
    <sheetView topLeftCell="A2" workbookViewId="0">
      <selection activeCell="R16" sqref="R16"/>
    </sheetView>
  </sheetViews>
  <sheetFormatPr defaultColWidth="9" defaultRowHeight="13.2"/>
  <cols>
    <col min="1" max="1" width="9" style="35"/>
    <col min="2" max="2" width="2.6640625" style="35" customWidth="1"/>
    <col min="3" max="3" width="6.109375" style="35" customWidth="1"/>
    <col min="4" max="4" width="0.33203125" style="35" customWidth="1"/>
    <col min="5" max="5" width="6.109375" style="35" customWidth="1"/>
    <col min="6" max="6" width="0.33203125" style="35" customWidth="1"/>
    <col min="7" max="7" width="6.109375" style="35" customWidth="1"/>
    <col min="8" max="8" width="0.33203125" style="35" customWidth="1"/>
    <col min="9" max="9" width="6.109375" style="35" customWidth="1"/>
    <col min="10" max="10" width="0.33203125" style="35" customWidth="1"/>
    <col min="11" max="11" width="6.109375" style="35" customWidth="1"/>
    <col min="12" max="12" width="2.6640625" style="35" customWidth="1"/>
    <col min="13" max="16384" width="9" style="35"/>
  </cols>
  <sheetData>
    <row r="2" spans="2:12" ht="13.8" thickBot="1"/>
    <row r="3" spans="2:12" ht="14.4" thickTop="1" thickBot="1">
      <c r="B3" s="61"/>
      <c r="C3" s="62"/>
      <c r="D3" s="62"/>
      <c r="E3" s="62"/>
      <c r="F3" s="62"/>
      <c r="G3" s="62"/>
      <c r="H3" s="62"/>
      <c r="I3" s="62"/>
      <c r="J3" s="62"/>
      <c r="K3" s="62"/>
      <c r="L3" s="63"/>
    </row>
    <row r="4" spans="2:12" ht="24.9" customHeight="1" thickTop="1" thickBot="1">
      <c r="B4" s="64"/>
      <c r="C4" s="183"/>
      <c r="D4" s="184"/>
      <c r="E4" s="184"/>
      <c r="F4" s="184"/>
      <c r="G4" s="184"/>
      <c r="H4" s="184"/>
      <c r="I4" s="184"/>
      <c r="J4" s="184"/>
      <c r="K4" s="185"/>
      <c r="L4" s="65"/>
    </row>
    <row r="5" spans="2:12" ht="13.8" thickTop="1">
      <c r="B5" s="64"/>
      <c r="C5" s="66"/>
      <c r="D5" s="66"/>
      <c r="E5" s="66"/>
      <c r="F5" s="66"/>
      <c r="G5" s="66"/>
      <c r="H5" s="66"/>
      <c r="I5" s="66"/>
      <c r="J5" s="66"/>
      <c r="K5" s="66"/>
      <c r="L5" s="65"/>
    </row>
    <row r="6" spans="2:12" ht="24.9" customHeight="1">
      <c r="B6" s="64"/>
      <c r="C6" s="182" t="s">
        <v>132</v>
      </c>
      <c r="D6" s="182"/>
      <c r="E6" s="182"/>
      <c r="F6" s="182"/>
      <c r="G6" s="182"/>
      <c r="H6" s="182"/>
      <c r="I6" s="182"/>
      <c r="J6" s="182"/>
      <c r="K6" s="182"/>
      <c r="L6" s="65"/>
    </row>
    <row r="7" spans="2:12" ht="13.8" thickBot="1">
      <c r="B7" s="64"/>
      <c r="C7" s="66"/>
      <c r="D7" s="66"/>
      <c r="E7" s="66"/>
      <c r="F7" s="66"/>
      <c r="G7" s="66"/>
      <c r="H7" s="66"/>
      <c r="I7" s="66"/>
      <c r="J7" s="66"/>
      <c r="K7" s="66"/>
      <c r="L7" s="65"/>
    </row>
    <row r="8" spans="2:12" ht="32.1" customHeight="1" thickTop="1" thickBot="1">
      <c r="B8" s="64"/>
      <c r="C8" s="70" t="s">
        <v>133</v>
      </c>
      <c r="D8" s="71"/>
      <c r="E8" s="70" t="s">
        <v>134</v>
      </c>
      <c r="F8" s="72"/>
      <c r="G8" s="70" t="s">
        <v>135</v>
      </c>
      <c r="H8" s="72"/>
      <c r="I8" s="70" t="s">
        <v>136</v>
      </c>
      <c r="J8" s="71"/>
      <c r="K8" s="70" t="s">
        <v>137</v>
      </c>
      <c r="L8" s="65"/>
    </row>
    <row r="9" spans="2:12" ht="1.5" customHeight="1" thickTop="1" thickBot="1">
      <c r="B9" s="64"/>
      <c r="C9" s="73"/>
      <c r="D9" s="71"/>
      <c r="E9" s="73"/>
      <c r="F9" s="74"/>
      <c r="G9" s="73"/>
      <c r="H9" s="74"/>
      <c r="I9" s="73"/>
      <c r="J9" s="71"/>
      <c r="K9" s="73"/>
      <c r="L9" s="65"/>
    </row>
    <row r="10" spans="2:12" ht="32.1" customHeight="1" thickTop="1" thickBot="1">
      <c r="B10" s="64"/>
      <c r="C10" s="70" t="s">
        <v>138</v>
      </c>
      <c r="D10" s="71"/>
      <c r="E10" s="70">
        <v>7</v>
      </c>
      <c r="F10" s="72"/>
      <c r="G10" s="70" t="s">
        <v>139</v>
      </c>
      <c r="H10" s="72"/>
      <c r="I10" s="70">
        <v>9</v>
      </c>
      <c r="J10" s="71"/>
      <c r="K10" s="70" t="s">
        <v>140</v>
      </c>
      <c r="L10" s="65"/>
    </row>
    <row r="11" spans="2:12" ht="1.5" customHeight="1" thickTop="1" thickBot="1">
      <c r="B11" s="64"/>
      <c r="C11" s="73"/>
      <c r="D11" s="71"/>
      <c r="E11" s="73"/>
      <c r="F11" s="74"/>
      <c r="G11" s="73"/>
      <c r="H11" s="74"/>
      <c r="I11" s="73"/>
      <c r="J11" s="71"/>
      <c r="K11" s="73"/>
      <c r="L11" s="65"/>
    </row>
    <row r="12" spans="2:12" ht="32.1" customHeight="1" thickTop="1" thickBot="1">
      <c r="B12" s="64"/>
      <c r="C12" s="70" t="s">
        <v>141</v>
      </c>
      <c r="D12" s="71"/>
      <c r="E12" s="70">
        <v>4</v>
      </c>
      <c r="F12" s="74"/>
      <c r="G12" s="70">
        <v>5</v>
      </c>
      <c r="H12" s="74"/>
      <c r="I12" s="70">
        <v>6</v>
      </c>
      <c r="J12" s="71"/>
      <c r="K12" s="70" t="s">
        <v>142</v>
      </c>
      <c r="L12" s="65"/>
    </row>
    <row r="13" spans="2:12" ht="1.5" customHeight="1" thickTop="1" thickBot="1">
      <c r="B13" s="64"/>
      <c r="C13" s="73"/>
      <c r="D13" s="71"/>
      <c r="E13" s="73"/>
      <c r="F13" s="74"/>
      <c r="G13" s="73"/>
      <c r="H13" s="74"/>
      <c r="I13" s="73"/>
      <c r="J13" s="71"/>
      <c r="K13" s="73"/>
      <c r="L13" s="65"/>
    </row>
    <row r="14" spans="2:12" ht="32.1" customHeight="1" thickTop="1" thickBot="1">
      <c r="B14" s="64"/>
      <c r="C14" s="70" t="s">
        <v>143</v>
      </c>
      <c r="D14" s="71"/>
      <c r="E14" s="70">
        <v>1</v>
      </c>
      <c r="F14" s="74"/>
      <c r="G14" s="70">
        <v>2</v>
      </c>
      <c r="H14" s="74"/>
      <c r="I14" s="70">
        <v>3</v>
      </c>
      <c r="J14" s="71"/>
      <c r="K14" s="179" t="s">
        <v>144</v>
      </c>
      <c r="L14" s="65"/>
    </row>
    <row r="15" spans="2:12" ht="1.5" customHeight="1" thickTop="1" thickBot="1">
      <c r="B15" s="64"/>
      <c r="C15" s="73"/>
      <c r="D15" s="71"/>
      <c r="E15" s="73"/>
      <c r="F15" s="74"/>
      <c r="G15" s="73"/>
      <c r="H15" s="74"/>
      <c r="I15" s="73"/>
      <c r="J15" s="71"/>
      <c r="K15" s="180"/>
      <c r="L15" s="65"/>
    </row>
    <row r="16" spans="2:12" ht="32.1" customHeight="1" thickTop="1" thickBot="1">
      <c r="B16" s="64"/>
      <c r="C16" s="70" t="s">
        <v>145</v>
      </c>
      <c r="D16" s="71"/>
      <c r="E16" s="70">
        <v>0</v>
      </c>
      <c r="F16" s="75"/>
      <c r="G16" s="70" t="s">
        <v>146</v>
      </c>
      <c r="H16" s="75"/>
      <c r="I16" s="70" t="s">
        <v>147</v>
      </c>
      <c r="J16" s="71"/>
      <c r="K16" s="181"/>
      <c r="L16" s="65"/>
    </row>
    <row r="17" spans="2:12" ht="1.5" customHeight="1" thickTop="1">
      <c r="B17" s="64"/>
      <c r="C17" s="66"/>
      <c r="D17" s="66"/>
      <c r="E17" s="66"/>
      <c r="F17" s="66"/>
      <c r="G17" s="66"/>
      <c r="H17" s="66"/>
      <c r="I17" s="66"/>
      <c r="J17" s="66"/>
      <c r="K17" s="66"/>
      <c r="L17" s="65"/>
    </row>
    <row r="18" spans="2:12" ht="13.8" thickBot="1">
      <c r="B18" s="67"/>
      <c r="C18" s="68"/>
      <c r="D18" s="68"/>
      <c r="E18" s="68"/>
      <c r="F18" s="68"/>
      <c r="G18" s="68"/>
      <c r="H18" s="68"/>
      <c r="I18" s="68"/>
      <c r="J18" s="68"/>
      <c r="K18" s="68"/>
      <c r="L18" s="69"/>
    </row>
    <row r="19" spans="2:12" ht="13.8" thickTop="1"/>
  </sheetData>
  <mergeCells count="3">
    <mergeCell ref="K14:K16"/>
    <mergeCell ref="C6:K6"/>
    <mergeCell ref="C4:K4"/>
  </mergeCells>
  <phoneticPr fontId="2"/>
  <pageMargins left="0.75" right="0.75" top="1" bottom="1" header="0.51200000000000001" footer="0.51200000000000001"/>
  <pageSetup paperSize="9"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序章</vt:lpstr>
      <vt:lpstr>問1</vt:lpstr>
      <vt:lpstr>問2</vt:lpstr>
      <vt:lpstr>問3</vt:lpstr>
      <vt:lpstr>問4</vt:lpstr>
      <vt:lpstr>問5</vt:lpstr>
      <vt:lpstr>問6</vt:lpstr>
      <vt:lpstr>Sheet2</vt:lpstr>
      <vt:lpstr>序章!xlfctif</vt:lpstr>
    </vt:vector>
  </TitlesOfParts>
  <Manager>エムティ･ソフト</Manager>
  <Company>エムティ･ソフト</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IF関数2</dc:title>
  <dc:subject>1段階のIFの使い方</dc:subject>
  <dc:creator>エムティ･ソフト</dc:creator>
  <cp:lastModifiedBy>西嵜浩則</cp:lastModifiedBy>
  <dcterms:created xsi:type="dcterms:W3CDTF">2000-04-01T11:51:57Z</dcterms:created>
  <dcterms:modified xsi:type="dcterms:W3CDTF">2025-04-22T08:27:18Z</dcterms:modified>
</cp:coreProperties>
</file>