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e01389\TODO\3.C言語\"/>
    </mc:Choice>
  </mc:AlternateContent>
  <bookViews>
    <workbookView xWindow="0" yWindow="0" windowWidth="19200" windowHeight="6850"/>
  </bookViews>
  <sheets>
    <sheet name="lookup" sheetId="4" r:id="rId1"/>
    <sheet name="master"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0" i="4" l="1"/>
  <c r="D11" i="4"/>
  <c r="D12" i="4"/>
  <c r="D9" i="4"/>
  <c r="C10" i="4"/>
  <c r="C11" i="4"/>
  <c r="C12" i="4"/>
  <c r="C9" i="4"/>
</calcChain>
</file>

<file path=xl/sharedStrings.xml><?xml version="1.0" encoding="utf-8"?>
<sst xmlns="http://schemas.openxmlformats.org/spreadsheetml/2006/main" count="53" uniqueCount="46">
  <si>
    <t>社員番号</t>
    <rPh sb="0" eb="4">
      <t>シャインバンゴウ</t>
    </rPh>
    <phoneticPr fontId="1"/>
  </si>
  <si>
    <t>名前</t>
    <rPh sb="0" eb="2">
      <t>ナマエ</t>
    </rPh>
    <phoneticPr fontId="1"/>
  </si>
  <si>
    <t>部署</t>
    <rPh sb="0" eb="2">
      <t>ブショ</t>
    </rPh>
    <phoneticPr fontId="1"/>
  </si>
  <si>
    <t>S002</t>
  </si>
  <si>
    <t>S001</t>
    <phoneticPr fontId="1"/>
  </si>
  <si>
    <t>鈴木太郎</t>
    <rPh sb="0" eb="4">
      <t>スズキタロウ</t>
    </rPh>
    <phoneticPr fontId="1"/>
  </si>
  <si>
    <t>田中花子</t>
    <rPh sb="0" eb="4">
      <t>タナカハナコ</t>
    </rPh>
    <phoneticPr fontId="1"/>
  </si>
  <si>
    <t>山本一郎</t>
    <rPh sb="0" eb="2">
      <t>ヤマモト</t>
    </rPh>
    <rPh sb="2" eb="4">
      <t>イチロウ</t>
    </rPh>
    <phoneticPr fontId="1"/>
  </si>
  <si>
    <t>佐藤真理</t>
    <rPh sb="0" eb="4">
      <t>サトウマリ</t>
    </rPh>
    <phoneticPr fontId="1"/>
  </si>
  <si>
    <t>中村健一</t>
    <rPh sb="0" eb="2">
      <t>ナカムラ</t>
    </rPh>
    <rPh sb="2" eb="4">
      <t>ケンイチ</t>
    </rPh>
    <phoneticPr fontId="1"/>
  </si>
  <si>
    <t>営業部</t>
    <rPh sb="0" eb="3">
      <t>エイギョウブ</t>
    </rPh>
    <phoneticPr fontId="1"/>
  </si>
  <si>
    <t>開発部</t>
    <rPh sb="0" eb="3">
      <t>カイハツブ</t>
    </rPh>
    <phoneticPr fontId="1"/>
  </si>
  <si>
    <t>経理部</t>
    <rPh sb="0" eb="3">
      <t>ケイリブ</t>
    </rPh>
    <phoneticPr fontId="1"/>
  </si>
  <si>
    <t>総理部</t>
    <rPh sb="0" eb="3">
      <t>ソウリブ</t>
    </rPh>
    <phoneticPr fontId="1"/>
  </si>
  <si>
    <t>人事部</t>
    <rPh sb="0" eb="3">
      <t>ジンジブ</t>
    </rPh>
    <phoneticPr fontId="1"/>
  </si>
  <si>
    <t>S003</t>
  </si>
  <si>
    <t>S004</t>
  </si>
  <si>
    <t>S005</t>
  </si>
  <si>
    <t>入力用シート</t>
    <rPh sb="0" eb="3">
      <t>ニュウリョクヨウ</t>
    </rPh>
    <phoneticPr fontId="1"/>
  </si>
  <si>
    <t>社員情報マスターシート</t>
    <rPh sb="0" eb="2">
      <t>シャイン</t>
    </rPh>
    <rPh sb="2" eb="4">
      <t>ジョウホウ</t>
    </rPh>
    <phoneticPr fontId="1"/>
  </si>
  <si>
    <t>■問題</t>
    <rPh sb="1" eb="3">
      <t>モンダイ</t>
    </rPh>
    <phoneticPr fontId="1"/>
  </si>
  <si>
    <t>社員情報の取得</t>
    <rPh sb="0" eb="4">
      <t>シャインジョウホウ</t>
    </rPh>
    <rPh sb="5" eb="7">
      <t>シュトク</t>
    </rPh>
    <phoneticPr fontId="1"/>
  </si>
  <si>
    <t>VLOOKUP練習問題</t>
    <rPh sb="7" eb="9">
      <t>レンシュウ</t>
    </rPh>
    <rPh sb="9" eb="11">
      <t>モンダイ</t>
    </rPh>
    <phoneticPr fontId="1"/>
  </si>
  <si>
    <t>　※masterシートを参照すること</t>
    <rPh sb="12" eb="14">
      <t>サンショウ</t>
    </rPh>
    <phoneticPr fontId="1"/>
  </si>
  <si>
    <t>S001</t>
  </si>
  <si>
    <t>解説</t>
    <rPh sb="0" eb="2">
      <t>カイセツ</t>
    </rPh>
    <phoneticPr fontId="1"/>
  </si>
  <si>
    <t>VLOOKUP関数は、</t>
    <rPh sb="7" eb="9">
      <t>カンスウ</t>
    </rPh>
    <phoneticPr fontId="1"/>
  </si>
  <si>
    <r>
      <rPr>
        <b/>
        <sz val="11"/>
        <color theme="1"/>
        <rFont val="游ゴシック"/>
        <family val="3"/>
        <charset val="128"/>
        <scheme val="minor"/>
      </rPr>
      <t xml:space="preserve">VLOOKUP(検索値,範囲,列番号,検索方法) </t>
    </r>
    <r>
      <rPr>
        <sz val="11"/>
        <color theme="1"/>
        <rFont val="游ゴシック"/>
        <family val="2"/>
        <charset val="128"/>
        <scheme val="minor"/>
      </rPr>
      <t>で指定します。</t>
    </r>
    <rPh sb="8" eb="10">
      <t>ケンサク</t>
    </rPh>
    <rPh sb="10" eb="11">
      <t>アタイ</t>
    </rPh>
    <rPh sb="12" eb="14">
      <t>ハンイ</t>
    </rPh>
    <rPh sb="15" eb="18">
      <t>レツバンゴウ</t>
    </rPh>
    <rPh sb="19" eb="21">
      <t>ケンサク</t>
    </rPh>
    <rPh sb="21" eb="23">
      <t>ホウホウ</t>
    </rPh>
    <rPh sb="26" eb="28">
      <t>シテイ</t>
    </rPh>
    <phoneticPr fontId="1"/>
  </si>
  <si>
    <t>引数</t>
    <rPh sb="0" eb="2">
      <t>ヒキスウ</t>
    </rPh>
    <phoneticPr fontId="1"/>
  </si>
  <si>
    <t>検索値</t>
    <rPh sb="0" eb="2">
      <t>ケンサク</t>
    </rPh>
    <rPh sb="2" eb="3">
      <t>アタイ</t>
    </rPh>
    <phoneticPr fontId="1"/>
  </si>
  <si>
    <t>探したい値</t>
    <rPh sb="0" eb="1">
      <t>サガ</t>
    </rPh>
    <rPh sb="4" eb="5">
      <t>アタイ</t>
    </rPh>
    <phoneticPr fontId="1"/>
  </si>
  <si>
    <t>B8(社員番号)</t>
    <rPh sb="3" eb="7">
      <t>シャインバンゴウ</t>
    </rPh>
    <phoneticPr fontId="1"/>
  </si>
  <si>
    <t>範囲</t>
    <rPh sb="0" eb="2">
      <t>ハンイ</t>
    </rPh>
    <phoneticPr fontId="1"/>
  </si>
  <si>
    <t>探す場所</t>
    <rPh sb="0" eb="1">
      <t>サガ</t>
    </rPh>
    <rPh sb="2" eb="4">
      <t>バショ</t>
    </rPh>
    <phoneticPr fontId="1"/>
  </si>
  <si>
    <t>=VLOOKUP(B8,master!$B$3:$D$8,2,FALSE)</t>
    <phoneticPr fontId="1"/>
  </si>
  <si>
    <r>
      <rPr>
        <sz val="11"/>
        <color theme="1"/>
        <rFont val="游ゴシック"/>
        <family val="2"/>
        <charset val="128"/>
        <scheme val="minor"/>
      </rPr>
      <t>=VLOOKUP(B8,master!$B$3:$D$8,3,FALSE)</t>
    </r>
    <phoneticPr fontId="1"/>
  </si>
  <si>
    <t>master!$B$3:$D$8(masterシートの表)</t>
    <rPh sb="27" eb="28">
      <t>ヒョウ</t>
    </rPh>
    <phoneticPr fontId="1"/>
  </si>
  <si>
    <t>列番号</t>
    <rPh sb="0" eb="3">
      <t>レツバンゴウ</t>
    </rPh>
    <phoneticPr fontId="1"/>
  </si>
  <si>
    <t>何列目のデータを返すか</t>
    <rPh sb="0" eb="3">
      <t>ナンレツメ</t>
    </rPh>
    <rPh sb="8" eb="9">
      <t>カエ</t>
    </rPh>
    <phoneticPr fontId="1"/>
  </si>
  <si>
    <t>説明</t>
    <rPh sb="0" eb="2">
      <t>セツメイ</t>
    </rPh>
    <phoneticPr fontId="1"/>
  </si>
  <si>
    <t>2(氏名)</t>
    <rPh sb="2" eb="4">
      <t>シメイ</t>
    </rPh>
    <phoneticPr fontId="1"/>
  </si>
  <si>
    <t>検索方法</t>
    <rPh sb="0" eb="4">
      <t>ケンサクホウホウ</t>
    </rPh>
    <phoneticPr fontId="1"/>
  </si>
  <si>
    <t>完全一致か近似一致か</t>
    <rPh sb="0" eb="4">
      <t>カンゼンイッチ</t>
    </rPh>
    <rPh sb="5" eb="7">
      <t>キンジ</t>
    </rPh>
    <rPh sb="7" eb="9">
      <t>イッチ</t>
    </rPh>
    <phoneticPr fontId="1"/>
  </si>
  <si>
    <t>FALSE(完全一致)</t>
    <rPh sb="6" eb="10">
      <t>カンゼンイッチ</t>
    </rPh>
    <phoneticPr fontId="1"/>
  </si>
  <si>
    <t>値</t>
    <rPh sb="0" eb="1">
      <t>アタイ</t>
    </rPh>
    <phoneticPr fontId="1"/>
  </si>
  <si>
    <t>VLOOKUP関数を使用して、社員番号を入力するだけで自動で名前と部署が表示されるようにしてください</t>
    <rPh sb="7" eb="9">
      <t>カンスウ</t>
    </rPh>
    <rPh sb="10" eb="12">
      <t>シヨウ</t>
    </rPh>
    <rPh sb="15" eb="19">
      <t>シャインバンゴウ</t>
    </rPh>
    <rPh sb="20" eb="22">
      <t>ニュウリョク</t>
    </rPh>
    <rPh sb="27" eb="29">
      <t>ジドウ</t>
    </rPh>
    <rPh sb="30" eb="32">
      <t>ナマエ</t>
    </rPh>
    <rPh sb="33" eb="35">
      <t>ブショ</t>
    </rPh>
    <rPh sb="36" eb="38">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</si>
</sst>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游ゴシック"/>
      <family val="2"/>
      <charset val="128"/>
      <scheme val="minor"/>
    </font>
    <font>
      <sz val="6"/>
      <name val="游ゴシック"/>
      <family val="2"/>
      <charset val="128"/>
      <scheme val="minor"/>
    </font>
    <font>
      <sz val="16"/>
      <color theme="1"/>
      <name val="游ゴシック"/>
      <family val="2"/>
      <charset val="128"/>
      <scheme val="minor"/>
    </font>
    <font>
      <sz val="11"/>
      <color theme="1"/>
      <name val="游ゴシック"/>
      <family val="3"/>
      <charset val="128"/>
      <scheme val="minor"/>
    </font>
    <font>
      <b/>
      <sz val="11"/>
      <color theme="1"/>
      <name val="游ゴシック"/>
      <family val="3"/>
      <charset val="128"/>
      <scheme val="minor"/>
    </font>
    <font>
      <b/>
      <sz val="14"/>
      <color theme="1"/>
      <name val="游ゴシック"/>
      <family val="3"/>
      <charset val="128"/>
      <scheme val="minor"/>
    </font>
    <font>
      <sz val="14"/>
      <color theme="1"/>
      <name val="游ゴシック"/>
      <family val="3"/>
      <charset val="128"/>
      <scheme val="minor"/>
    </font>
  </fonts>
  <fills count="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alignment vertical="center"/>
    </xf>
  </cellStyleXfs>
  <cellXfs count="26">
    <xf numFmtId="0" fontId="0" fillId="0" borderId="0" xfId="0">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0" fillId="0" borderId="0" xfId="0" applyFill="1" applyBorder="1" applyAlignment="1">
      <alignment horizontal="left" vertical="center"/>
    </xf>
    <xf numFmtId="0" fontId="2" fillId="0" borderId="0" xfId="0" applyFont="1">
      <alignment vertical="center"/>
    </xf>
    <xf numFmtId="0" fontId="0" fillId="0" borderId="8" xfId="0" quotePrefix="1" applyBorder="1" applyAlignment="1">
      <alignment horizontal="center" vertical="center"/>
    </xf>
    <xf numFmtId="0" fontId="3" fillId="0" borderId="9" xfId="0" quotePrefix="1" applyFont="1" applyBorder="1" applyAlignment="1">
      <alignment horizontal="center" vertical="center"/>
    </xf>
    <xf numFmtId="0" fontId="3" fillId="0" borderId="0" xfId="0" applyFont="1" applyAlignment="1">
      <alignment horizontal="left" vertical="center"/>
    </xf>
    <xf numFmtId="0" fontId="6" fillId="0" borderId="0" xfId="0" applyFont="1">
      <alignment vertical="center"/>
    </xf>
    <xf numFmtId="0" fontId="0" fillId="4" borderId="13" xfId="0" applyFill="1" applyBorder="1" applyAlignment="1">
      <alignment horizontal="center" vertical="center"/>
    </xf>
    <xf numFmtId="0" fontId="0" fillId="3" borderId="0" xfId="0" applyFill="1" applyAlignment="1">
      <alignment horizontal="center" vertical="center"/>
    </xf>
    <xf numFmtId="0" fontId="5" fillId="3" borderId="0" xfId="0" applyFont="1" applyFill="1" applyBorder="1" applyAlignment="1">
      <alignment horizontal="center" vertical="center"/>
    </xf>
    <xf numFmtId="0" fontId="5" fillId="3" borderId="0" xfId="0" applyFont="1" applyFill="1" applyAlignment="1">
      <alignment horizontal="center" vertical="center"/>
    </xf>
  </cellXfs>
  <cellStyles count="1">
    <cellStyle name="標準" xfId="0" builtinId="0"/>
  </cellStyles>
  <dxfs count="0"/>
  <tableStyles count="0" defaultTableStyle="TableStyleMedium2" defaultPivotStyle="PivotStyleLight16"/>
  <colors>
    <mruColors>
      <color rgb="FFE2F0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101600</xdr:colOff>
      <xdr:row>2</xdr:row>
      <xdr:rowOff>31750</xdr:rowOff>
    </xdr:from>
    <xdr:to>
      <xdr:col>3</xdr:col>
      <xdr:colOff>768350</xdr:colOff>
      <xdr:row>8</xdr:row>
      <xdr:rowOff>6350</xdr:rowOff>
    </xdr:to>
    <xdr:sp macro="" textlink="">
      <xdr:nvSpPr>
        <xdr:cNvPr id="2" name="正方形/長方形 1"/>
        <xdr:cNvSpPr/>
      </xdr:nvSpPr>
      <xdr:spPr>
        <a:xfrm>
          <a:off x="101600" y="495300"/>
          <a:ext cx="2400300" cy="1365250"/>
        </a:xfrm>
        <a:prstGeom prst="rect">
          <a:avLst/>
        </a:prstGeom>
        <a:solidFill>
          <a:srgbClr val="E2F0D9">
            <a:alpha val="23137"/>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527050</xdr:colOff>
      <xdr:row>2</xdr:row>
      <xdr:rowOff>6350</xdr:rowOff>
    </xdr:from>
    <xdr:to>
      <xdr:col>7</xdr:col>
      <xdr:colOff>190500</xdr:colOff>
      <xdr:row>5</xdr:row>
      <xdr:rowOff>146050</xdr:rowOff>
    </xdr:to>
    <xdr:sp macro="" textlink="">
      <xdr:nvSpPr>
        <xdr:cNvPr id="3" name="正方形/長方形 2"/>
        <xdr:cNvSpPr/>
      </xdr:nvSpPr>
      <xdr:spPr>
        <a:xfrm>
          <a:off x="3067050" y="469900"/>
          <a:ext cx="1644650" cy="838200"/>
        </a:xfrm>
        <a:prstGeom prst="rect">
          <a:avLst/>
        </a:prstGeom>
        <a:solidFill>
          <a:srgbClr val="E2F0D9">
            <a:alpha val="23137"/>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311150</xdr:colOff>
      <xdr:row>2</xdr:row>
      <xdr:rowOff>114300</xdr:rowOff>
    </xdr:from>
    <xdr:ext cx="2339102" cy="607346"/>
    <xdr:sp macro="" textlink="">
      <xdr:nvSpPr>
        <xdr:cNvPr id="4" name="テキスト ボックス 3"/>
        <xdr:cNvSpPr txBox="1"/>
      </xdr:nvSpPr>
      <xdr:spPr>
        <a:xfrm>
          <a:off x="4832350" y="577850"/>
          <a:ext cx="2339102"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・・・検索範囲</a:t>
          </a:r>
        </a:p>
      </xdr:txBody>
    </xdr:sp>
    <xdr:clientData/>
  </xdr:oneCellAnchor>
  <xdr:oneCellAnchor>
    <xdr:from>
      <xdr:col>2</xdr:col>
      <xdr:colOff>146050</xdr:colOff>
      <xdr:row>9</xdr:row>
      <xdr:rowOff>260350</xdr:rowOff>
    </xdr:from>
    <xdr:ext cx="1386598" cy="607346"/>
    <xdr:sp macro="" textlink="">
      <xdr:nvSpPr>
        <xdr:cNvPr id="5" name="テキスト ボックス 4"/>
        <xdr:cNvSpPr txBox="1"/>
      </xdr:nvSpPr>
      <xdr:spPr>
        <a:xfrm>
          <a:off x="1073150" y="2343150"/>
          <a:ext cx="1386598"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a:t>↑列番号</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7"/>
  <sheetViews>
    <sheetView tabSelected="1" workbookViewId="0"/>
  </sheetViews>
  <sheetFormatPr defaultRowHeight="18" x14ac:dyDescent="0.55000000000000004"/>
  <cols>
    <col min="1" max="1" width="1.58203125" customWidth="1"/>
    <col min="2" max="2" width="10.58203125" customWidth="1"/>
    <col min="3" max="3" width="41.5" customWidth="1"/>
    <col min="4" max="4" width="46.6640625" customWidth="1"/>
    <col min="6" max="6" width="8.33203125" customWidth="1"/>
    <col min="7" max="7" width="21.25" customWidth="1"/>
    <col min="8" max="8" width="34" customWidth="1"/>
  </cols>
  <sheetData>
    <row r="2" spans="2:8" x14ac:dyDescent="0.55000000000000004">
      <c r="B2" t="s">
        <v>22</v>
      </c>
    </row>
    <row r="3" spans="2:8" ht="26.5" x14ac:dyDescent="0.55000000000000004">
      <c r="B3" s="17" t="s">
        <v>21</v>
      </c>
    </row>
    <row r="6" spans="2:8" ht="23" thickBot="1" x14ac:dyDescent="0.6">
      <c r="B6" t="s">
        <v>18</v>
      </c>
      <c r="F6" s="21" t="s">
        <v>25</v>
      </c>
    </row>
    <row r="7" spans="2:8" ht="18.5" thickBot="1" x14ac:dyDescent="0.6">
      <c r="B7" s="13" t="s">
        <v>0</v>
      </c>
      <c r="C7" s="14" t="s">
        <v>1</v>
      </c>
      <c r="D7" s="15" t="s">
        <v>2</v>
      </c>
      <c r="F7" s="16" t="s">
        <v>26</v>
      </c>
    </row>
    <row r="8" spans="2:8" ht="18.5" thickTop="1" x14ac:dyDescent="0.55000000000000004">
      <c r="B8" s="1" t="s">
        <v>24</v>
      </c>
      <c r="C8" s="18" t="s">
        <v>34</v>
      </c>
      <c r="D8" s="19" t="s">
        <v>35</v>
      </c>
      <c r="F8" s="20" t="s">
        <v>27</v>
      </c>
    </row>
    <row r="9" spans="2:8" x14ac:dyDescent="0.55000000000000004">
      <c r="B9" s="1" t="s">
        <v>3</v>
      </c>
      <c r="C9" s="2" t="str">
        <f>VLOOKUP(B9,master!$B$3:$D$8,2,FALSE)</f>
        <v>田中花子</v>
      </c>
      <c r="D9" s="19" t="str">
        <f>VLOOKUP(B8,master!$B$4:$D$8,3,FALSE)</f>
        <v>営業部</v>
      </c>
    </row>
    <row r="10" spans="2:8" ht="18.5" thickBot="1" x14ac:dyDescent="0.6">
      <c r="B10" s="1" t="s">
        <v>15</v>
      </c>
      <c r="C10" s="2" t="str">
        <f>VLOOKUP(B10,master!$B$3:$D$8,2,FALSE)</f>
        <v>山本一郎</v>
      </c>
      <c r="D10" s="19" t="str">
        <f>VLOOKUP(B9,master!$B$4:$D$8,3,FALSE)</f>
        <v>開発部</v>
      </c>
      <c r="F10" s="22" t="s">
        <v>28</v>
      </c>
      <c r="G10" s="22" t="s">
        <v>39</v>
      </c>
      <c r="H10" s="22" t="s">
        <v>44</v>
      </c>
    </row>
    <row r="11" spans="2:8" ht="18.5" thickTop="1" x14ac:dyDescent="0.55000000000000004">
      <c r="B11" s="1" t="s">
        <v>16</v>
      </c>
      <c r="C11" s="2" t="str">
        <f>VLOOKUP(B11,master!$B$3:$D$8,2,FALSE)</f>
        <v>佐藤真理</v>
      </c>
      <c r="D11" s="19" t="str">
        <f>VLOOKUP(B10,master!$B$4:$D$8,3,FALSE)</f>
        <v>経理部</v>
      </c>
      <c r="F11" s="2" t="s">
        <v>29</v>
      </c>
      <c r="G11" s="2" t="s">
        <v>30</v>
      </c>
      <c r="H11" s="2" t="s">
        <v>31</v>
      </c>
    </row>
    <row r="12" spans="2:8" x14ac:dyDescent="0.55000000000000004">
      <c r="B12" s="1" t="s">
        <v>17</v>
      </c>
      <c r="C12" s="2" t="str">
        <f>VLOOKUP(B12,master!$B$3:$D$8,2,FALSE)</f>
        <v>中村健一</v>
      </c>
      <c r="D12" s="19" t="str">
        <f>VLOOKUP(B11,master!$B$4:$D$8,3,FALSE)</f>
        <v>総理部</v>
      </c>
      <c r="F12" s="5" t="s">
        <v>32</v>
      </c>
      <c r="G12" s="5" t="s">
        <v>33</v>
      </c>
      <c r="H12" s="5" t="s">
        <v>36</v>
      </c>
    </row>
    <row r="13" spans="2:8" x14ac:dyDescent="0.55000000000000004">
      <c r="F13" s="5" t="s">
        <v>37</v>
      </c>
      <c r="G13" s="5" t="s">
        <v>38</v>
      </c>
      <c r="H13" s="5" t="s">
        <v>40</v>
      </c>
    </row>
    <row r="14" spans="2:8" x14ac:dyDescent="0.55000000000000004">
      <c r="F14" s="5" t="s">
        <v>41</v>
      </c>
      <c r="G14" s="5" t="s">
        <v>42</v>
      </c>
      <c r="H14" s="5" t="s">
        <v>43</v>
      </c>
    </row>
    <row r="15" spans="2:8" x14ac:dyDescent="0.55000000000000004">
      <c r="B15" s="16" t="s">
        <v>20</v>
      </c>
    </row>
    <row r="16" spans="2:8" x14ac:dyDescent="0.55000000000000004">
      <c r="B16" t="s">
        <v>45</v>
      </c>
    </row>
    <row r="17" spans="2:2" x14ac:dyDescent="0.55000000000000004">
      <c r="B17" t="s">
        <v>23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0"/>
  <sheetViews>
    <sheetView workbookViewId="0"/>
  </sheetViews>
  <sheetFormatPr defaultRowHeight="18" x14ac:dyDescent="0.55000000000000004"/>
  <cols>
    <col min="1" max="1" width="1.58203125" customWidth="1"/>
    <col min="2" max="4" width="10.58203125" customWidth="1"/>
  </cols>
  <sheetData>
    <row r="2" spans="2:4" ht="18.5" thickBot="1" x14ac:dyDescent="0.6">
      <c r="B2" t="s">
        <v>19</v>
      </c>
    </row>
    <row r="3" spans="2:4" ht="18.5" thickBot="1" x14ac:dyDescent="0.6">
      <c r="B3" s="10" t="s">
        <v>0</v>
      </c>
      <c r="C3" s="11" t="s">
        <v>1</v>
      </c>
      <c r="D3" s="12" t="s">
        <v>2</v>
      </c>
    </row>
    <row r="4" spans="2:4" ht="18.5" thickTop="1" x14ac:dyDescent="0.55000000000000004">
      <c r="B4" s="1" t="s">
        <v>4</v>
      </c>
      <c r="C4" s="2" t="s">
        <v>5</v>
      </c>
      <c r="D4" s="3" t="s">
        <v>10</v>
      </c>
    </row>
    <row r="5" spans="2:4" x14ac:dyDescent="0.55000000000000004">
      <c r="B5" s="4" t="s">
        <v>3</v>
      </c>
      <c r="C5" s="5" t="s">
        <v>6</v>
      </c>
      <c r="D5" s="6" t="s">
        <v>11</v>
      </c>
    </row>
    <row r="6" spans="2:4" x14ac:dyDescent="0.55000000000000004">
      <c r="B6" s="4" t="s">
        <v>15</v>
      </c>
      <c r="C6" s="5" t="s">
        <v>7</v>
      </c>
      <c r="D6" s="6" t="s">
        <v>12</v>
      </c>
    </row>
    <row r="7" spans="2:4" x14ac:dyDescent="0.55000000000000004">
      <c r="B7" s="4" t="s">
        <v>16</v>
      </c>
      <c r="C7" s="5" t="s">
        <v>8</v>
      </c>
      <c r="D7" s="6" t="s">
        <v>13</v>
      </c>
    </row>
    <row r="8" spans="2:4" ht="18.5" thickBot="1" x14ac:dyDescent="0.6">
      <c r="B8" s="7" t="s">
        <v>17</v>
      </c>
      <c r="C8" s="8" t="s">
        <v>9</v>
      </c>
      <c r="D8" s="9" t="s">
        <v>14</v>
      </c>
    </row>
    <row r="10" spans="2:4" ht="22.5" x14ac:dyDescent="0.55000000000000004">
      <c r="B10" s="23">
        <v>1</v>
      </c>
      <c r="C10" s="24">
        <v>2</v>
      </c>
      <c r="D10" s="25">
        <v>3</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lookup</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tk0831</dc:creator>
  <cp:lastModifiedBy>能力開発共有</cp:lastModifiedBy>
  <dcterms:created xsi:type="dcterms:W3CDTF">2020-03-22T03:48:41Z</dcterms:created>
  <dcterms:modified xsi:type="dcterms:W3CDTF">2025-04-22T10:43:36Z</dcterms:modified>
</cp:coreProperties>
</file>