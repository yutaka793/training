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codeName="ThisWorkbook"/>
  <bookViews>
    <workbookView xWindow="-15" yWindow="-15" windowWidth="11970" windowHeight="6615" tabRatio="834"/>
  </bookViews>
  <sheets>
    <sheet name="Match" sheetId="12" r:id="rId1"/>
  </sheets>
  <calcPr calcId="145621"/>
</workbook>
</file>

<file path=xl/calcChain.xml><?xml version="1.0" encoding="utf-8"?>
<calcChain xmlns="http://schemas.openxmlformats.org/spreadsheetml/2006/main">
  <c r="D35" i="12" l="1"/>
  <c r="K35" i="12"/>
  <c r="D79" i="12" l="1"/>
  <c r="B83" i="12" s="1"/>
  <c r="D80" i="12"/>
  <c r="V48" i="12"/>
  <c r="U48" i="12"/>
  <c r="T48" i="12"/>
  <c r="S48" i="12"/>
  <c r="R48" i="12"/>
  <c r="Q48" i="12"/>
  <c r="P48" i="12"/>
  <c r="O48" i="12"/>
  <c r="N48" i="12"/>
  <c r="V47" i="12"/>
  <c r="U47" i="12"/>
  <c r="T47" i="12"/>
  <c r="S47" i="12"/>
  <c r="R47" i="12"/>
  <c r="Q47" i="12"/>
  <c r="P47" i="12"/>
  <c r="O47" i="12"/>
  <c r="N47" i="12"/>
  <c r="V46" i="12"/>
  <c r="U46" i="12"/>
  <c r="T46" i="12"/>
  <c r="S46" i="12"/>
  <c r="R46" i="12"/>
  <c r="Q46" i="12"/>
  <c r="P46" i="12"/>
  <c r="O46" i="12"/>
  <c r="N46" i="12"/>
  <c r="V45" i="12"/>
  <c r="U45" i="12"/>
  <c r="T45" i="12"/>
  <c r="S45" i="12"/>
  <c r="R45" i="12"/>
  <c r="Q45" i="12"/>
  <c r="P45" i="12"/>
  <c r="O45" i="12"/>
  <c r="N45" i="12"/>
  <c r="V44" i="12"/>
  <c r="U44" i="12"/>
  <c r="T44" i="12"/>
  <c r="S44" i="12"/>
  <c r="R44" i="12"/>
  <c r="Q44" i="12"/>
  <c r="P44" i="12"/>
  <c r="O44" i="12"/>
  <c r="N44" i="12"/>
  <c r="V43" i="12"/>
  <c r="U43" i="12"/>
  <c r="T43" i="12"/>
  <c r="S43" i="12"/>
  <c r="R43" i="12"/>
  <c r="Q43" i="12"/>
  <c r="P43" i="12"/>
  <c r="O43" i="12"/>
  <c r="N43" i="12"/>
  <c r="V42" i="12"/>
  <c r="U42" i="12"/>
  <c r="T42" i="12"/>
  <c r="S42" i="12"/>
  <c r="R42" i="12"/>
  <c r="Q42" i="12"/>
  <c r="P42" i="12"/>
  <c r="O42" i="12"/>
  <c r="N42" i="12"/>
  <c r="V41" i="12"/>
  <c r="U41" i="12"/>
  <c r="T41" i="12"/>
  <c r="S41" i="12"/>
  <c r="R41" i="12"/>
  <c r="Q41" i="12"/>
  <c r="P41" i="12"/>
  <c r="O41" i="12"/>
  <c r="N41" i="12"/>
  <c r="V40" i="12"/>
  <c r="U40" i="12"/>
  <c r="T40" i="12"/>
  <c r="S40" i="12"/>
  <c r="R40" i="12"/>
  <c r="Q40" i="12"/>
  <c r="P40" i="12"/>
  <c r="O40" i="12"/>
  <c r="N40" i="12"/>
</calcChain>
</file>

<file path=xl/sharedStrings.xml><?xml version="1.0" encoding="utf-8"?>
<sst xmlns="http://schemas.openxmlformats.org/spreadsheetml/2006/main" count="52" uniqueCount="30">
  <si>
    <t>駅間距離</t>
    <rPh sb="0" eb="1">
      <t>エキ</t>
    </rPh>
    <rPh sb="1" eb="2">
      <t>アイダ</t>
    </rPh>
    <rPh sb="2" eb="4">
      <t>キョリ</t>
    </rPh>
    <phoneticPr fontId="2"/>
  </si>
  <si>
    <t>計算用</t>
    <rPh sb="0" eb="2">
      <t>ケイサン</t>
    </rPh>
    <rPh sb="2" eb="3">
      <t>ヨウ</t>
    </rPh>
    <phoneticPr fontId="2"/>
  </si>
  <si>
    <t>通勤定期</t>
    <rPh sb="0" eb="2">
      <t>ツウキン</t>
    </rPh>
    <rPh sb="2" eb="4">
      <t>テイキ</t>
    </rPh>
    <phoneticPr fontId="2"/>
  </si>
  <si>
    <t>1～4</t>
    <phoneticPr fontId="2"/>
  </si>
  <si>
    <t>5～6</t>
    <phoneticPr fontId="2"/>
  </si>
  <si>
    <t>7～9</t>
    <phoneticPr fontId="2"/>
  </si>
  <si>
    <t>10～12</t>
    <phoneticPr fontId="2"/>
  </si>
  <si>
    <t>13～15</t>
    <phoneticPr fontId="2"/>
  </si>
  <si>
    <t>16～19</t>
    <phoneticPr fontId="2"/>
  </si>
  <si>
    <t>20～24</t>
    <phoneticPr fontId="2"/>
  </si>
  <si>
    <t>25～30</t>
    <phoneticPr fontId="2"/>
  </si>
  <si>
    <t>31～37</t>
    <phoneticPr fontId="2"/>
  </si>
  <si>
    <t>38～44</t>
    <phoneticPr fontId="2"/>
  </si>
  <si>
    <t>45～52</t>
    <phoneticPr fontId="2"/>
  </si>
  <si>
    <t>定期種類</t>
    <rPh sb="0" eb="2">
      <t>テイキ</t>
    </rPh>
    <rPh sb="2" eb="4">
      <t>シュルイ</t>
    </rPh>
    <phoneticPr fontId="2"/>
  </si>
  <si>
    <t>■料金一覧表</t>
    <rPh sb="1" eb="3">
      <t>リョウキン</t>
    </rPh>
    <rPh sb="3" eb="5">
      <t>イチラン</t>
    </rPh>
    <rPh sb="5" eb="6">
      <t>ヒョウ</t>
    </rPh>
    <phoneticPr fontId="2"/>
  </si>
  <si>
    <t>料金</t>
    <rPh sb="0" eb="2">
      <t>リョウキン</t>
    </rPh>
    <phoneticPr fontId="2"/>
  </si>
  <si>
    <t>表内の相対位置</t>
    <rPh sb="0" eb="2">
      <t>ヒョウナイ</t>
    </rPh>
    <rPh sb="3" eb="7">
      <t>ソウタイイチ</t>
    </rPh>
    <phoneticPr fontId="2"/>
  </si>
  <si>
    <t>九九掛け算表</t>
    <rPh sb="0" eb="2">
      <t>クク</t>
    </rPh>
    <rPh sb="2" eb="3">
      <t>カ</t>
    </rPh>
    <rPh sb="4" eb="5">
      <t>ザン</t>
    </rPh>
    <rPh sb="5" eb="6">
      <t>ヒョウ</t>
    </rPh>
    <phoneticPr fontId="2"/>
  </si>
  <si>
    <t>りんご</t>
    <phoneticPr fontId="2"/>
  </si>
  <si>
    <t>みかん</t>
    <phoneticPr fontId="2"/>
  </si>
  <si>
    <t>トマト</t>
    <phoneticPr fontId="2"/>
  </si>
  <si>
    <t>梨</t>
    <rPh sb="0" eb="1">
      <t>ナシ</t>
    </rPh>
    <phoneticPr fontId="2"/>
  </si>
  <si>
    <t>照合の型＝０</t>
    <rPh sb="0" eb="2">
      <t>ショウゴウ</t>
    </rPh>
    <rPh sb="3" eb="4">
      <t>カタ</t>
    </rPh>
    <phoneticPr fontId="2"/>
  </si>
  <si>
    <t>照合の型＝１</t>
    <rPh sb="0" eb="2">
      <t>ショウゴウ</t>
    </rPh>
    <rPh sb="3" eb="4">
      <t>カタ</t>
    </rPh>
    <phoneticPr fontId="2"/>
  </si>
  <si>
    <t>は</t>
    <phoneticPr fontId="2"/>
  </si>
  <si>
    <t>行目</t>
    <rPh sb="0" eb="2">
      <t>ギョウメ</t>
    </rPh>
    <phoneticPr fontId="2"/>
  </si>
  <si>
    <t>使用例１</t>
    <rPh sb="0" eb="2">
      <t>シヨウ</t>
    </rPh>
    <rPh sb="2" eb="3">
      <t>レイ</t>
    </rPh>
    <phoneticPr fontId="2"/>
  </si>
  <si>
    <t>使用例２</t>
    <rPh sb="0" eb="2">
      <t>シヨウ</t>
    </rPh>
    <rPh sb="2" eb="3">
      <t>レイ</t>
    </rPh>
    <phoneticPr fontId="2"/>
  </si>
  <si>
    <t>以下の最大値がある行は</t>
    <rPh sb="0" eb="2">
      <t>イカ</t>
    </rPh>
    <rPh sb="3" eb="6">
      <t>サイダイチ</t>
    </rPh>
    <rPh sb="9" eb="10">
      <t>ギョウ</t>
    </rPh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</si>
</sst>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76" formatCode="#&quot;ヶ月&quot;"/>
    <numFmt numFmtId="177" formatCode="#,##0&quot;円&quot;"/>
  </numFmts>
  <fonts count="3">
    <font>
      <sz val="11"/>
      <name val="ＭＳ Ｐゴシック"/>
      <family val="3"/>
      <charset val="128"/>
    </font>
    <font>
      <sz val="11"/>
      <name val="ＭＳ Ｐゴシック"/>
      <family val="3"/>
      <charset val="128"/>
    </font>
    <font>
      <sz val="6"/>
      <name val="ＭＳ Ｐゴシック"/>
      <family val="3"/>
      <charset val="128"/>
    </font>
  </fonts>
  <fills count="6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theme="6" tint="0.79998168889431442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ck">
        <color indexed="10"/>
      </left>
      <right style="thick">
        <color indexed="10"/>
      </right>
      <top style="thick">
        <color indexed="10"/>
      </top>
      <bottom style="thick">
        <color indexed="10"/>
      </bottom>
      <diagonal/>
    </border>
    <border>
      <left style="thick">
        <color indexed="12"/>
      </left>
      <right style="thick">
        <color indexed="12"/>
      </right>
      <top style="thick">
        <color indexed="12"/>
      </top>
      <bottom style="thick">
        <color indexed="12"/>
      </bottom>
      <diagonal/>
    </border>
    <border>
      <left style="thick">
        <color indexed="10"/>
      </left>
      <right style="thin">
        <color indexed="64"/>
      </right>
      <top style="thick">
        <color indexed="10"/>
      </top>
      <bottom style="thick">
        <color indexed="10"/>
      </bottom>
      <diagonal/>
    </border>
    <border>
      <left style="thin">
        <color indexed="64"/>
      </left>
      <right style="thick">
        <color indexed="10"/>
      </right>
      <top style="thick">
        <color indexed="10"/>
      </top>
      <bottom style="thick">
        <color indexed="1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</borders>
  <cellStyleXfs count="2">
    <xf numFmtId="0" fontId="0" fillId="0" borderId="0"/>
    <xf numFmtId="38" fontId="1" fillId="0" borderId="0" applyFont="0" applyFill="0" applyBorder="0" applyAlignment="0" applyProtection="0"/>
  </cellStyleXfs>
  <cellXfs count="22">
    <xf numFmtId="0" fontId="0" fillId="0" borderId="0" xfId="0"/>
    <xf numFmtId="0" fontId="0" fillId="2" borderId="1" xfId="0" applyFill="1" applyBorder="1"/>
    <xf numFmtId="0" fontId="0" fillId="0" borderId="1" xfId="0" applyBorder="1"/>
    <xf numFmtId="176" fontId="0" fillId="2" borderId="1" xfId="0" applyNumberFormat="1" applyFill="1" applyBorder="1" applyAlignment="1">
      <alignment horizontal="center"/>
    </xf>
    <xf numFmtId="38" fontId="0" fillId="0" borderId="1" xfId="1" applyFont="1" applyBorder="1"/>
    <xf numFmtId="0" fontId="0" fillId="3" borderId="1" xfId="0" applyFill="1" applyBorder="1"/>
    <xf numFmtId="0" fontId="0" fillId="0" borderId="2" xfId="0" applyBorder="1" applyAlignment="1">
      <alignment horizontal="left" vertical="center"/>
    </xf>
    <xf numFmtId="0" fontId="0" fillId="0" borderId="0" xfId="0" applyAlignment="1">
      <alignment vertical="center"/>
    </xf>
    <xf numFmtId="0" fontId="0" fillId="0" borderId="0" xfId="0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2" borderId="2" xfId="0" applyFill="1" applyBorder="1"/>
    <xf numFmtId="0" fontId="0" fillId="0" borderId="4" xfId="0" applyFill="1" applyBorder="1" applyAlignment="1">
      <alignment horizontal="center"/>
    </xf>
    <xf numFmtId="0" fontId="0" fillId="4" borderId="0" xfId="0" applyFill="1" applyAlignment="1">
      <alignment horizontal="center"/>
    </xf>
    <xf numFmtId="177" fontId="0" fillId="4" borderId="5" xfId="0" applyNumberFormat="1" applyFill="1" applyBorder="1" applyAlignment="1">
      <alignment horizontal="center"/>
    </xf>
    <xf numFmtId="177" fontId="0" fillId="4" borderId="6" xfId="0" applyNumberFormat="1" applyFill="1" applyBorder="1" applyAlignment="1">
      <alignment horizontal="center"/>
    </xf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0" fillId="2" borderId="7" xfId="0" applyFill="1" applyBorder="1" applyAlignment="1">
      <alignment horizontal="center"/>
    </xf>
    <xf numFmtId="0" fontId="0" fillId="0" borderId="4" xfId="0" applyBorder="1" applyAlignment="1">
      <alignment horizontal="centerContinuous" vertical="center"/>
    </xf>
    <xf numFmtId="0" fontId="0" fillId="0" borderId="8" xfId="0" applyBorder="1" applyAlignment="1">
      <alignment horizontal="left" vertical="center"/>
    </xf>
    <xf numFmtId="0" fontId="0" fillId="5" borderId="9" xfId="0" applyFill="1" applyBorder="1" applyAlignment="1">
      <alignment horizontal="center"/>
    </xf>
  </cellXfs>
  <cellStyles count="2">
    <cellStyle name="桁区切り" xfId="1" builtinId="6"/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238125</xdr:colOff>
      <xdr:row>37</xdr:row>
      <xdr:rowOff>47625</xdr:rowOff>
    </xdr:from>
    <xdr:to>
      <xdr:col>11</xdr:col>
      <xdr:colOff>247650</xdr:colOff>
      <xdr:row>54</xdr:row>
      <xdr:rowOff>104775</xdr:rowOff>
    </xdr:to>
    <xdr:sp macro="" textlink="">
      <xdr:nvSpPr>
        <xdr:cNvPr id="8193" name="AutoShape 1"/>
        <xdr:cNvSpPr>
          <a:spLocks noChangeArrowheads="1"/>
        </xdr:cNvSpPr>
      </xdr:nvSpPr>
      <xdr:spPr bwMode="auto">
        <a:xfrm>
          <a:off x="2333625" y="6524625"/>
          <a:ext cx="4010025" cy="2971800"/>
        </a:xfrm>
        <a:prstGeom prst="roundRect">
          <a:avLst>
            <a:gd name="adj" fmla="val 16667"/>
          </a:avLst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C0C0C0" mc:Ignorable="a14" a14:legacySpreadsheetColorIndex="22"/>
          </a:solidFill>
          <a:round/>
          <a:headEnd/>
          <a:tailEnd/>
        </a:ln>
        <a:effectLst>
          <a:outerShdw dist="35921" dir="2700000" algn="ctr" rotWithShape="0">
            <a:srgbClr val="808080"/>
          </a:outerShdw>
        </a:effectLst>
      </xdr:spPr>
      <xdr:txBody>
        <a:bodyPr vertOverflow="clip" wrap="square" lIns="36576" tIns="18288" rIns="0" bIns="0" anchor="t" upright="1"/>
        <a:lstStyle/>
        <a:p>
          <a:pPr algn="l" rtl="0">
            <a:lnSpc>
              <a:spcPts val="1500"/>
            </a:lnSpc>
            <a:defRPr sz="1000"/>
          </a:pPr>
          <a:r>
            <a:rPr lang="en-US" altLang="ja-JP" sz="1200" b="1" i="0" u="none" strike="noStrike" baseline="0">
              <a:solidFill>
                <a:srgbClr val="0000FF"/>
              </a:solidFill>
              <a:latin typeface="ＭＳ Ｐゴシック"/>
              <a:ea typeface="ＭＳ Ｐゴシック"/>
            </a:rPr>
            <a:t>Index</a:t>
          </a:r>
          <a:r>
            <a:rPr lang="ja-JP" altLang="en-US" sz="12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　関数</a:t>
          </a:r>
          <a:endParaRPr lang="ja-JP" altLang="en-US" sz="1100" b="0" i="0" u="none" strike="noStrike" baseline="0">
            <a:solidFill>
              <a:srgbClr val="000000"/>
            </a:solidFill>
            <a:latin typeface="ＭＳ Ｐゴシック"/>
            <a:ea typeface="ＭＳ Ｐゴシック"/>
          </a:endParaRPr>
        </a:p>
        <a:p>
          <a:pPr algn="l" rtl="0">
            <a:lnSpc>
              <a:spcPts val="1300"/>
            </a:lnSpc>
            <a:defRPr sz="1000"/>
          </a:pPr>
          <a:endParaRPr lang="ja-JP" altLang="en-US" sz="1100" b="0" i="0" u="none" strike="noStrike" baseline="0">
            <a:solidFill>
              <a:srgbClr val="000000"/>
            </a:solidFill>
            <a:latin typeface="ＭＳ Ｐゴシック"/>
            <a:ea typeface="ＭＳ Ｐゴシック"/>
          </a:endParaRPr>
        </a:p>
        <a:p>
          <a:pPr algn="l" rtl="0">
            <a:lnSpc>
              <a:spcPts val="1300"/>
            </a:lnSpc>
            <a:defRPr sz="1000"/>
          </a:pPr>
          <a:r>
            <a:rPr lang="ja-JP" altLang="en-US" sz="11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行番号 と 列番号 で指定されるテーブルまたは配列の要素の値を返します。</a:t>
          </a:r>
        </a:p>
        <a:p>
          <a:pPr algn="l" rtl="0">
            <a:lnSpc>
              <a:spcPts val="1300"/>
            </a:lnSpc>
            <a:defRPr sz="1000"/>
          </a:pPr>
          <a:endParaRPr lang="ja-JP" altLang="en-US" sz="1100" b="0" i="0" u="none" strike="noStrike" baseline="0">
            <a:solidFill>
              <a:srgbClr val="000000"/>
            </a:solidFill>
            <a:latin typeface="ＭＳ Ｐゴシック"/>
            <a:ea typeface="ＭＳ Ｐゴシック"/>
          </a:endParaRPr>
        </a:p>
        <a:p>
          <a:pPr algn="l" rtl="0">
            <a:defRPr sz="1000"/>
          </a:pPr>
          <a:r>
            <a:rPr lang="ja-JP" altLang="en-US" sz="11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書式：</a:t>
          </a:r>
          <a:r>
            <a:rPr lang="en-US" altLang="ja-JP" sz="1100" b="0" i="0" u="none" strike="noStrike" baseline="0">
              <a:solidFill>
                <a:srgbClr val="FF0000"/>
              </a:solidFill>
              <a:latin typeface="ＭＳ Ｐゴシック"/>
              <a:ea typeface="ＭＳ Ｐゴシック"/>
            </a:rPr>
            <a:t>Index</a:t>
          </a:r>
          <a:r>
            <a:rPr lang="en-US" altLang="ja-JP" sz="11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(</a:t>
          </a:r>
          <a:r>
            <a:rPr lang="ja-JP" altLang="en-US" sz="1100" b="0" i="0" u="none" strike="noStrike" baseline="0">
              <a:solidFill>
                <a:srgbClr val="0000FF"/>
              </a:solidFill>
              <a:latin typeface="ＭＳ Ｐゴシック"/>
              <a:ea typeface="ＭＳ Ｐゴシック"/>
            </a:rPr>
            <a:t>範囲</a:t>
          </a:r>
          <a:r>
            <a:rPr lang="en-US" altLang="ja-JP" sz="11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,</a:t>
          </a:r>
          <a:r>
            <a:rPr lang="ja-JP" altLang="en-US" sz="1100" b="0" i="0" u="none" strike="noStrike" baseline="0">
              <a:solidFill>
                <a:srgbClr val="0000FF"/>
              </a:solidFill>
              <a:latin typeface="ＭＳ Ｐゴシック"/>
              <a:ea typeface="ＭＳ Ｐゴシック"/>
            </a:rPr>
            <a:t>行</a:t>
          </a:r>
          <a:r>
            <a:rPr lang="en-US" altLang="ja-JP" sz="11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,</a:t>
          </a:r>
          <a:r>
            <a:rPr lang="ja-JP" altLang="en-US" sz="1100" b="0" i="0" u="none" strike="noStrike" baseline="0">
              <a:solidFill>
                <a:srgbClr val="0000FF"/>
              </a:solidFill>
              <a:latin typeface="ＭＳ Ｐゴシック"/>
              <a:ea typeface="ＭＳ Ｐゴシック"/>
            </a:rPr>
            <a:t>列</a:t>
          </a:r>
          <a:r>
            <a:rPr lang="ja-JP" altLang="en-US" sz="11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）</a:t>
          </a:r>
        </a:p>
        <a:p>
          <a:pPr algn="l" rtl="0">
            <a:lnSpc>
              <a:spcPts val="1300"/>
            </a:lnSpc>
            <a:defRPr sz="1000"/>
          </a:pPr>
          <a:endParaRPr lang="ja-JP" altLang="en-US" sz="1100" b="0" i="0" u="none" strike="noStrike" baseline="0">
            <a:solidFill>
              <a:srgbClr val="000000"/>
            </a:solidFill>
            <a:latin typeface="ＭＳ Ｐゴシック"/>
            <a:ea typeface="ＭＳ Ｐゴシック"/>
          </a:endParaRPr>
        </a:p>
        <a:p>
          <a:pPr algn="l" rtl="0">
            <a:lnSpc>
              <a:spcPts val="1300"/>
            </a:lnSpc>
            <a:defRPr sz="1000"/>
          </a:pPr>
          <a:r>
            <a:rPr lang="ja-JP" altLang="en-US" sz="11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範囲：対象となるセル範囲</a:t>
          </a:r>
        </a:p>
        <a:p>
          <a:pPr algn="l" rtl="0">
            <a:defRPr sz="1000"/>
          </a:pPr>
          <a:r>
            <a:rPr lang="ja-JP" altLang="en-US" sz="1100" b="0" i="0" u="none" strike="noStrike" baseline="0">
              <a:solidFill>
                <a:srgbClr val="0000FF"/>
              </a:solidFill>
              <a:latin typeface="ＭＳ Ｐゴシック"/>
              <a:ea typeface="ＭＳ Ｐゴシック"/>
            </a:rPr>
            <a:t>行</a:t>
          </a:r>
          <a:r>
            <a:rPr lang="ja-JP" altLang="en-US" sz="11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　：</a:t>
          </a:r>
          <a:r>
            <a:rPr lang="ja-JP" altLang="en-US" sz="1100" b="0" i="0" u="none" strike="noStrike" baseline="0">
              <a:solidFill>
                <a:srgbClr val="008000"/>
              </a:solidFill>
              <a:latin typeface="ＭＳ Ｐゴシック"/>
              <a:ea typeface="ＭＳ Ｐゴシック"/>
            </a:rPr>
            <a:t>範囲内での行の相対位置</a:t>
          </a:r>
          <a:endParaRPr lang="ja-JP" altLang="en-US" sz="1100" b="0" i="0" u="none" strike="noStrike" baseline="0">
            <a:solidFill>
              <a:srgbClr val="000000"/>
            </a:solidFill>
            <a:latin typeface="ＭＳ Ｐゴシック"/>
            <a:ea typeface="ＭＳ Ｐゴシック"/>
          </a:endParaRPr>
        </a:p>
        <a:p>
          <a:pPr algn="l" rtl="0">
            <a:lnSpc>
              <a:spcPts val="1300"/>
            </a:lnSpc>
            <a:defRPr sz="1000"/>
          </a:pPr>
          <a:r>
            <a:rPr lang="ja-JP" altLang="en-US" sz="1100" b="0" i="0" u="none" strike="noStrike" baseline="0">
              <a:solidFill>
                <a:srgbClr val="0000FF"/>
              </a:solidFill>
              <a:latin typeface="ＭＳ Ｐゴシック"/>
              <a:ea typeface="ＭＳ Ｐゴシック"/>
            </a:rPr>
            <a:t>列</a:t>
          </a:r>
          <a:r>
            <a:rPr lang="ja-JP" altLang="en-US" sz="11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　：</a:t>
          </a:r>
          <a:r>
            <a:rPr lang="ja-JP" altLang="en-US" sz="1100" b="0" i="0" u="none" strike="noStrike" baseline="0">
              <a:solidFill>
                <a:srgbClr val="008000"/>
              </a:solidFill>
              <a:latin typeface="ＭＳ Ｐゴシック"/>
              <a:ea typeface="ＭＳ Ｐゴシック"/>
            </a:rPr>
            <a:t>範囲内での列の相対位置</a:t>
          </a:r>
          <a:endParaRPr lang="ja-JP" altLang="en-US" sz="1100" b="0" i="0" u="none" strike="noStrike" baseline="0">
            <a:solidFill>
              <a:srgbClr val="000000"/>
            </a:solidFill>
            <a:latin typeface="ＭＳ Ｐゴシック"/>
            <a:ea typeface="ＭＳ Ｐゴシック"/>
          </a:endParaRPr>
        </a:p>
        <a:p>
          <a:pPr algn="l" rtl="0">
            <a:defRPr sz="1000"/>
          </a:pPr>
          <a:endParaRPr lang="ja-JP" altLang="en-US" sz="1100" b="0" i="0" u="none" strike="noStrike" baseline="0">
            <a:solidFill>
              <a:srgbClr val="000000"/>
            </a:solidFill>
            <a:latin typeface="ＭＳ Ｐゴシック"/>
            <a:ea typeface="ＭＳ Ｐゴシック"/>
          </a:endParaRPr>
        </a:p>
        <a:p>
          <a:pPr algn="l" rtl="0">
            <a:lnSpc>
              <a:spcPts val="1300"/>
            </a:lnSpc>
            <a:defRPr sz="1000"/>
          </a:pPr>
          <a:r>
            <a:rPr lang="ja-JP" altLang="en-US" sz="11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使用例：右の九九掛け算表では７</a:t>
          </a:r>
          <a:r>
            <a:rPr lang="en-US" altLang="ja-JP" sz="11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X8</a:t>
          </a:r>
          <a:r>
            <a:rPr lang="ja-JP" altLang="en-US" sz="11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を以下のように求めることが出来る。</a:t>
          </a:r>
        </a:p>
        <a:p>
          <a:pPr algn="l" rtl="0">
            <a:defRPr sz="1000"/>
          </a:pPr>
          <a:r>
            <a:rPr lang="ja-JP" altLang="en-US" sz="11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　</a:t>
          </a:r>
          <a:r>
            <a:rPr lang="en-US" altLang="ja-JP" sz="1100" b="0" i="0" u="none" strike="noStrike" baseline="0">
              <a:solidFill>
                <a:srgbClr val="FF0000"/>
              </a:solidFill>
              <a:latin typeface="ＭＳ Ｐゴシック"/>
              <a:ea typeface="ＭＳ Ｐゴシック"/>
            </a:rPr>
            <a:t>Index</a:t>
          </a:r>
          <a:r>
            <a:rPr lang="en-US" altLang="ja-JP" sz="11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(N27:V35,7,8) = 56</a:t>
          </a:r>
        </a:p>
        <a:p>
          <a:pPr algn="l" rtl="0">
            <a:lnSpc>
              <a:spcPts val="1200"/>
            </a:lnSpc>
            <a:defRPr sz="1000"/>
          </a:pPr>
          <a:endParaRPr lang="en-US" altLang="ja-JP" sz="1100" b="0" i="0" u="none" strike="noStrike" baseline="0">
            <a:solidFill>
              <a:srgbClr val="000000"/>
            </a:solidFill>
            <a:latin typeface="ＭＳ Ｐゴシック"/>
            <a:ea typeface="ＭＳ Ｐゴシック"/>
          </a:endParaRPr>
        </a:p>
      </xdr:txBody>
    </xdr:sp>
    <xdr:clientData/>
  </xdr:twoCellAnchor>
  <xdr:twoCellAnchor>
    <xdr:from>
      <xdr:col>6</xdr:col>
      <xdr:colOff>209550</xdr:colOff>
      <xdr:row>2</xdr:row>
      <xdr:rowOff>19050</xdr:rowOff>
    </xdr:from>
    <xdr:to>
      <xdr:col>14</xdr:col>
      <xdr:colOff>28575</xdr:colOff>
      <xdr:row>16</xdr:row>
      <xdr:rowOff>9525</xdr:rowOff>
    </xdr:to>
    <xdr:sp macro="" textlink="">
      <xdr:nvSpPr>
        <xdr:cNvPr id="8194" name="Text Box 2"/>
        <xdr:cNvSpPr txBox="1">
          <a:spLocks noChangeArrowheads="1"/>
        </xdr:cNvSpPr>
      </xdr:nvSpPr>
      <xdr:spPr bwMode="auto">
        <a:xfrm>
          <a:off x="3676650" y="361950"/>
          <a:ext cx="3400425" cy="239077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CCFFFF" mc:Ignorable="a14" a14:legacySpreadsheetColorIndex="41"/>
        </a:solidFill>
        <a:ln w="57150" cmpd="thickThin">
          <a:solidFill>
            <a:srgbClr xmlns:mc="http://schemas.openxmlformats.org/markup-compatibility/2006" xmlns:a14="http://schemas.microsoft.com/office/drawing/2010/main" val="00FF00" mc:Ignorable="a14" a14:legacySpreadsheetColorIndex="11"/>
          </a:solidFill>
          <a:miter lim="800000"/>
          <a:headEnd/>
          <a:tailEnd/>
        </a:ln>
      </xdr:spPr>
      <xdr:txBody>
        <a:bodyPr vertOverflow="clip" wrap="square" lIns="108000" tIns="118800" rIns="90000" bIns="46800" anchor="t" upright="1"/>
        <a:lstStyle/>
        <a:p>
          <a:pPr algn="l" rtl="0">
            <a:defRPr sz="1000"/>
          </a:pPr>
          <a:r>
            <a:rPr lang="ja-JP" altLang="en-US" sz="1100" b="1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　</a:t>
          </a:r>
          <a:r>
            <a:rPr lang="en-US" altLang="ja-JP" sz="1100" b="1" i="0" u="none" strike="noStrike" baseline="0">
              <a:solidFill>
                <a:srgbClr val="FF0000"/>
              </a:solidFill>
              <a:latin typeface="ＭＳ Ｐゴシック"/>
              <a:ea typeface="ＭＳ Ｐゴシック"/>
            </a:rPr>
            <a:t>C18</a:t>
          </a:r>
          <a:r>
            <a:rPr lang="ja-JP" altLang="en-US" sz="1100" b="1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に</a:t>
          </a:r>
          <a:r>
            <a:rPr lang="ja-JP" altLang="en-US" sz="1100" b="1" i="0" u="none" strike="noStrike" baseline="0">
              <a:solidFill>
                <a:srgbClr val="0000FF"/>
              </a:solidFill>
              <a:latin typeface="ＭＳ Ｐゴシック"/>
              <a:ea typeface="ＭＳ Ｐゴシック"/>
            </a:rPr>
            <a:t>駅間距離</a:t>
          </a:r>
          <a:r>
            <a:rPr lang="ja-JP" altLang="en-US" sz="1100" b="1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、</a:t>
          </a:r>
          <a:r>
            <a:rPr lang="en-US" altLang="ja-JP" sz="1100" b="1" i="0" u="none" strike="noStrike" baseline="0">
              <a:solidFill>
                <a:srgbClr val="FF0000"/>
              </a:solidFill>
              <a:latin typeface="ＭＳ Ｐゴシック"/>
              <a:ea typeface="ＭＳ Ｐゴシック"/>
            </a:rPr>
            <a:t>C19</a:t>
          </a:r>
          <a:r>
            <a:rPr lang="ja-JP" altLang="en-US" sz="1100" b="1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に</a:t>
          </a:r>
          <a:r>
            <a:rPr lang="ja-JP" altLang="en-US" sz="1100" b="1" i="0" u="none" strike="noStrike" baseline="0">
              <a:solidFill>
                <a:srgbClr val="0000FF"/>
              </a:solidFill>
              <a:latin typeface="ＭＳ Ｐゴシック"/>
              <a:ea typeface="ＭＳ Ｐゴシック"/>
            </a:rPr>
            <a:t>定期種類</a:t>
          </a:r>
          <a:r>
            <a:rPr lang="ja-JP" altLang="en-US" sz="1100" b="1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を入力すると、料金が表示される数式を設定しなさい。</a:t>
          </a:r>
          <a:endParaRPr lang="ja-JP" altLang="en-US" sz="1100" b="0" i="0" u="none" strike="noStrike" baseline="0">
            <a:solidFill>
              <a:srgbClr val="000000"/>
            </a:solidFill>
            <a:latin typeface="ＭＳ Ｐゴシック"/>
            <a:ea typeface="ＭＳ Ｐゴシック"/>
          </a:endParaRPr>
        </a:p>
        <a:p>
          <a:pPr algn="l" rtl="0">
            <a:defRPr sz="1000"/>
          </a:pPr>
          <a:endParaRPr lang="ja-JP" altLang="en-US" sz="1100" b="0" i="0" u="none" strike="noStrike" baseline="0">
            <a:solidFill>
              <a:srgbClr val="000000"/>
            </a:solidFill>
            <a:latin typeface="ＭＳ Ｐゴシック"/>
            <a:ea typeface="ＭＳ Ｐゴシック"/>
          </a:endParaRPr>
        </a:p>
        <a:p>
          <a:pPr algn="l" rtl="0">
            <a:lnSpc>
              <a:spcPts val="1300"/>
            </a:lnSpc>
            <a:defRPr sz="1000"/>
          </a:pPr>
          <a:r>
            <a:rPr lang="ja-JP" altLang="en-US" sz="11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　駅間距離、および定期種類の表内での相対位置を調べるには、</a:t>
          </a:r>
          <a:r>
            <a:rPr lang="en-US" altLang="ja-JP" sz="1100" b="1" i="0" u="none" strike="noStrike" baseline="0">
              <a:solidFill>
                <a:srgbClr val="FF0000"/>
              </a:solidFill>
              <a:latin typeface="ＭＳ Ｐゴシック"/>
              <a:ea typeface="ＭＳ Ｐゴシック"/>
            </a:rPr>
            <a:t>Match</a:t>
          </a:r>
          <a:r>
            <a:rPr lang="ja-JP" altLang="en-US" sz="11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関数を使用するとよいでしょう。</a:t>
          </a:r>
          <a:r>
            <a:rPr lang="en-US" altLang="ja-JP" sz="11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D18</a:t>
          </a:r>
          <a:r>
            <a:rPr lang="ja-JP" altLang="en-US" sz="11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、</a:t>
          </a:r>
          <a:r>
            <a:rPr lang="en-US" altLang="ja-JP" sz="11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D19</a:t>
          </a:r>
          <a:r>
            <a:rPr lang="ja-JP" altLang="en-US" sz="11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に相対位置を表示しておきます。</a:t>
          </a:r>
        </a:p>
        <a:p>
          <a:pPr algn="l" rtl="0">
            <a:defRPr sz="1000"/>
          </a:pPr>
          <a:r>
            <a:rPr lang="ja-JP" altLang="en-US" sz="11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　行列の相対値から料金を特定するには、</a:t>
          </a:r>
          <a:r>
            <a:rPr lang="en-US" altLang="ja-JP" sz="1100" b="1" i="0" u="none" strike="noStrike" baseline="0">
              <a:solidFill>
                <a:srgbClr val="FF0000"/>
              </a:solidFill>
              <a:latin typeface="ＭＳ Ｐゴシック"/>
              <a:ea typeface="ＭＳ Ｐゴシック"/>
            </a:rPr>
            <a:t>Index</a:t>
          </a:r>
          <a:r>
            <a:rPr lang="ja-JP" altLang="en-US" sz="11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関数を使用するとよいでしょう。</a:t>
          </a:r>
        </a:p>
        <a:p>
          <a:pPr algn="l" rtl="0">
            <a:lnSpc>
              <a:spcPts val="1300"/>
            </a:lnSpc>
            <a:defRPr sz="1000"/>
          </a:pPr>
          <a:endParaRPr lang="ja-JP" altLang="en-US" sz="1100" b="0" i="0" u="none" strike="noStrike" baseline="0">
            <a:solidFill>
              <a:srgbClr val="000000"/>
            </a:solidFill>
            <a:latin typeface="ＭＳ Ｐゴシック"/>
            <a:ea typeface="ＭＳ Ｐゴシック"/>
          </a:endParaRPr>
        </a:p>
        <a:p>
          <a:pPr algn="l" rtl="0">
            <a:lnSpc>
              <a:spcPts val="1300"/>
            </a:lnSpc>
            <a:defRPr sz="1000"/>
          </a:pPr>
          <a:r>
            <a:rPr lang="ja-JP" altLang="en-US" sz="11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下記の</a:t>
          </a:r>
          <a:r>
            <a:rPr lang="en-US" altLang="ja-JP" sz="1100" b="0" i="0" u="none" strike="noStrike" baseline="0">
              <a:solidFill>
                <a:srgbClr val="FF0000"/>
              </a:solidFill>
              <a:latin typeface="ＭＳ Ｐゴシック"/>
              <a:ea typeface="ＭＳ Ｐゴシック"/>
            </a:rPr>
            <a:t>Match</a:t>
          </a:r>
          <a:r>
            <a:rPr lang="ja-JP" altLang="en-US" sz="11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と</a:t>
          </a:r>
          <a:r>
            <a:rPr lang="en-US" altLang="ja-JP" sz="1100" b="0" i="0" u="none" strike="noStrike" baseline="0">
              <a:solidFill>
                <a:srgbClr val="FF0000"/>
              </a:solidFill>
              <a:latin typeface="ＭＳ Ｐゴシック"/>
              <a:ea typeface="ＭＳ Ｐゴシック"/>
            </a:rPr>
            <a:t>Index</a:t>
          </a:r>
          <a:r>
            <a:rPr lang="ja-JP" altLang="en-US" sz="11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の使い方を参照</a:t>
          </a:r>
        </a:p>
        <a:p>
          <a:pPr algn="l" rtl="0">
            <a:lnSpc>
              <a:spcPts val="1300"/>
            </a:lnSpc>
            <a:defRPr sz="1000"/>
          </a:pPr>
          <a:endParaRPr lang="ja-JP" altLang="en-US" sz="1100" b="0" i="0" u="none" strike="noStrike" baseline="0">
            <a:solidFill>
              <a:srgbClr val="000000"/>
            </a:solidFill>
            <a:latin typeface="ＭＳ Ｐゴシック"/>
            <a:ea typeface="ＭＳ Ｐゴシック"/>
          </a:endParaRPr>
        </a:p>
      </xdr:txBody>
    </xdr:sp>
    <xdr:clientData/>
  </xdr:twoCellAnchor>
  <xdr:twoCellAnchor>
    <xdr:from>
      <xdr:col>14</xdr:col>
      <xdr:colOff>190500</xdr:colOff>
      <xdr:row>0</xdr:row>
      <xdr:rowOff>114301</xdr:rowOff>
    </xdr:from>
    <xdr:to>
      <xdr:col>25</xdr:col>
      <xdr:colOff>561975</xdr:colOff>
      <xdr:row>18</xdr:row>
      <xdr:rowOff>19050</xdr:rowOff>
    </xdr:to>
    <xdr:sp macro="" textlink="">
      <xdr:nvSpPr>
        <xdr:cNvPr id="8195" name="AutoShape 3"/>
        <xdr:cNvSpPr>
          <a:spLocks noChangeArrowheads="1"/>
        </xdr:cNvSpPr>
      </xdr:nvSpPr>
      <xdr:spPr bwMode="auto">
        <a:xfrm>
          <a:off x="7239000" y="114301"/>
          <a:ext cx="4143375" cy="3019424"/>
        </a:xfrm>
        <a:prstGeom prst="roundRect">
          <a:avLst>
            <a:gd name="adj" fmla="val 16667"/>
          </a:avLst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C0C0C0" mc:Ignorable="a14" a14:legacySpreadsheetColorIndex="22"/>
          </a:solidFill>
          <a:round/>
          <a:headEnd/>
          <a:tailEnd/>
        </a:ln>
        <a:effectLst>
          <a:outerShdw dist="35921" dir="2700000" algn="ctr" rotWithShape="0">
            <a:srgbClr val="808080"/>
          </a:outerShdw>
        </a:effectLst>
      </xdr:spPr>
      <xdr:txBody>
        <a:bodyPr vertOverflow="clip" wrap="square" lIns="36576" tIns="18288" rIns="0" bIns="0" anchor="t" upright="1"/>
        <a:lstStyle/>
        <a:p>
          <a:pPr algn="l" rtl="0">
            <a:lnSpc>
              <a:spcPts val="1500"/>
            </a:lnSpc>
            <a:defRPr sz="1000"/>
          </a:pPr>
          <a:r>
            <a:rPr lang="en-US" altLang="ja-JP" sz="1200" b="1" i="0" u="none" strike="noStrike" baseline="0">
              <a:solidFill>
                <a:srgbClr val="0000FF"/>
              </a:solidFill>
              <a:latin typeface="ＭＳ Ｐゴシック"/>
              <a:ea typeface="ＭＳ Ｐゴシック"/>
            </a:rPr>
            <a:t>Match</a:t>
          </a:r>
          <a:r>
            <a:rPr lang="en-US" altLang="ja-JP" sz="11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 </a:t>
          </a:r>
          <a:r>
            <a:rPr lang="ja-JP" altLang="en-US" sz="11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関数</a:t>
          </a:r>
        </a:p>
        <a:p>
          <a:pPr algn="l" rtl="0">
            <a:lnSpc>
              <a:spcPts val="1300"/>
            </a:lnSpc>
            <a:defRPr sz="1000"/>
          </a:pPr>
          <a:endParaRPr lang="ja-JP" altLang="en-US" sz="1100" b="0" i="0" u="none" strike="noStrike" baseline="0">
            <a:solidFill>
              <a:srgbClr val="000000"/>
            </a:solidFill>
            <a:latin typeface="ＭＳ Ｐゴシック"/>
            <a:ea typeface="ＭＳ Ｐゴシック"/>
          </a:endParaRPr>
        </a:p>
        <a:p>
          <a:pPr algn="l" rtl="0">
            <a:lnSpc>
              <a:spcPts val="1300"/>
            </a:lnSpc>
            <a:defRPr sz="1000"/>
          </a:pPr>
          <a:r>
            <a:rPr lang="ja-JP" altLang="en-US" sz="11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指定された 照合の型 に従って 検査範囲 内を検索し、検査値 と一致する要素の相対的な位置を表す数値を返します。</a:t>
          </a:r>
        </a:p>
        <a:p>
          <a:pPr algn="l" rtl="0">
            <a:defRPr sz="1000"/>
          </a:pPr>
          <a:endParaRPr lang="ja-JP" altLang="en-US" sz="1100" b="0" i="0" u="none" strike="noStrike" baseline="0">
            <a:solidFill>
              <a:srgbClr val="000000"/>
            </a:solidFill>
            <a:latin typeface="ＭＳ Ｐゴシック"/>
            <a:ea typeface="ＭＳ Ｐゴシック"/>
          </a:endParaRPr>
        </a:p>
        <a:p>
          <a:pPr algn="l" rtl="0">
            <a:lnSpc>
              <a:spcPts val="1300"/>
            </a:lnSpc>
            <a:defRPr sz="1000"/>
          </a:pPr>
          <a:r>
            <a:rPr lang="ja-JP" altLang="en-US" sz="11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書式：　</a:t>
          </a:r>
          <a:r>
            <a:rPr lang="en-US" altLang="ja-JP" sz="1100" b="0" i="0" u="none" strike="noStrike" baseline="0">
              <a:solidFill>
                <a:srgbClr val="FF0000"/>
              </a:solidFill>
              <a:latin typeface="ＭＳ Ｐゴシック"/>
              <a:ea typeface="ＭＳ Ｐゴシック"/>
            </a:rPr>
            <a:t>MATCH</a:t>
          </a:r>
          <a:r>
            <a:rPr lang="en-US" altLang="ja-JP" sz="11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(</a:t>
          </a:r>
          <a:r>
            <a:rPr lang="ja-JP" altLang="en-US" sz="1100" b="0" i="0" u="none" strike="noStrike" baseline="0">
              <a:solidFill>
                <a:srgbClr val="0000FF"/>
              </a:solidFill>
              <a:latin typeface="ＭＳ Ｐゴシック"/>
              <a:ea typeface="ＭＳ Ｐゴシック"/>
            </a:rPr>
            <a:t>検査値</a:t>
          </a:r>
          <a:r>
            <a:rPr lang="en-US" altLang="ja-JP" sz="11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, </a:t>
          </a:r>
          <a:r>
            <a:rPr lang="ja-JP" altLang="en-US" sz="1100" b="0" i="0" u="none" strike="noStrike" baseline="0">
              <a:solidFill>
                <a:srgbClr val="0000FF"/>
              </a:solidFill>
              <a:latin typeface="ＭＳ Ｐゴシック"/>
              <a:ea typeface="ＭＳ Ｐゴシック"/>
            </a:rPr>
            <a:t>検査範囲</a:t>
          </a:r>
          <a:r>
            <a:rPr lang="en-US" altLang="ja-JP" sz="11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, </a:t>
          </a:r>
          <a:r>
            <a:rPr lang="ja-JP" altLang="en-US" sz="1100" b="0" i="0" u="none" strike="noStrike" baseline="0">
              <a:solidFill>
                <a:srgbClr val="0000FF"/>
              </a:solidFill>
              <a:latin typeface="ＭＳ Ｐゴシック"/>
              <a:ea typeface="ＭＳ Ｐゴシック"/>
            </a:rPr>
            <a:t>照合の型</a:t>
          </a:r>
          <a:r>
            <a:rPr lang="en-US" altLang="ja-JP" sz="11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)</a:t>
          </a:r>
        </a:p>
        <a:p>
          <a:pPr algn="l" rtl="0">
            <a:defRPr sz="1000"/>
          </a:pPr>
          <a:r>
            <a:rPr lang="ja-JP" altLang="en-US" sz="11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　</a:t>
          </a:r>
        </a:p>
        <a:p>
          <a:pPr algn="l" rtl="0">
            <a:lnSpc>
              <a:spcPts val="1300"/>
            </a:lnSpc>
            <a:defRPr sz="1000"/>
          </a:pPr>
          <a:r>
            <a:rPr lang="ja-JP" altLang="en-US" sz="11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・照合の型 に </a:t>
          </a:r>
          <a:r>
            <a:rPr lang="en-US" altLang="ja-JP" sz="1100" b="0" i="0" u="none" strike="noStrike" baseline="0">
              <a:solidFill>
                <a:srgbClr val="FF0000"/>
              </a:solidFill>
              <a:latin typeface="ＭＳ Ｐゴシック"/>
              <a:ea typeface="ＭＳ Ｐゴシック"/>
            </a:rPr>
            <a:t>1</a:t>
          </a:r>
          <a:r>
            <a:rPr lang="en-US" altLang="ja-JP" sz="11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 </a:t>
          </a:r>
          <a:r>
            <a:rPr lang="ja-JP" altLang="en-US" sz="11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を指定すると、</a:t>
          </a:r>
          <a:r>
            <a:rPr lang="ja-JP" altLang="en-US" sz="1100" b="0" i="0" u="none" strike="noStrike" baseline="0">
              <a:solidFill>
                <a:srgbClr val="0000FF"/>
              </a:solidFill>
              <a:latin typeface="ＭＳ Ｐゴシック"/>
              <a:ea typeface="ＭＳ Ｐゴシック"/>
            </a:rPr>
            <a:t>検査値 以下の最大の値</a:t>
          </a:r>
          <a:r>
            <a:rPr lang="ja-JP" altLang="en-US" sz="11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が検索されます。昇順で並べ替えられておく必要があります。</a:t>
          </a:r>
        </a:p>
        <a:p>
          <a:pPr algn="l" rtl="0">
            <a:defRPr sz="1000"/>
          </a:pPr>
          <a:r>
            <a:rPr lang="ja-JP" altLang="en-US" sz="11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・照合の型 に </a:t>
          </a:r>
          <a:r>
            <a:rPr lang="en-US" altLang="ja-JP" sz="1100" b="0" i="0" u="none" strike="noStrike" baseline="0">
              <a:solidFill>
                <a:srgbClr val="FF0000"/>
              </a:solidFill>
              <a:latin typeface="ＭＳ Ｐゴシック"/>
              <a:ea typeface="ＭＳ Ｐゴシック"/>
            </a:rPr>
            <a:t>0</a:t>
          </a:r>
          <a:r>
            <a:rPr lang="en-US" altLang="ja-JP" sz="11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 </a:t>
          </a:r>
          <a:r>
            <a:rPr lang="ja-JP" altLang="en-US" sz="11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を指定すると、</a:t>
          </a:r>
          <a:r>
            <a:rPr lang="ja-JP" altLang="en-US" sz="1100" b="0" i="0" u="none" strike="noStrike" baseline="0">
              <a:solidFill>
                <a:srgbClr val="0000FF"/>
              </a:solidFill>
              <a:latin typeface="ＭＳ Ｐゴシック"/>
              <a:ea typeface="ＭＳ Ｐゴシック"/>
            </a:rPr>
            <a:t>検査値 に一致する値</a:t>
          </a:r>
          <a:r>
            <a:rPr lang="ja-JP" altLang="en-US" sz="11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のみが検索の対象となります。このとき 検査範囲 を並べ替えておく必要はありません。</a:t>
          </a:r>
        </a:p>
        <a:p>
          <a:pPr algn="l" rtl="0">
            <a:lnSpc>
              <a:spcPts val="1300"/>
            </a:lnSpc>
            <a:defRPr sz="1000"/>
          </a:pPr>
          <a:r>
            <a:rPr lang="ja-JP" altLang="en-US" sz="11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・照合の型 に </a:t>
          </a:r>
          <a:r>
            <a:rPr lang="en-US" altLang="ja-JP" sz="1100" b="0" i="0" u="none" strike="noStrike" baseline="0">
              <a:solidFill>
                <a:srgbClr val="FF0000"/>
              </a:solidFill>
              <a:latin typeface="ＭＳ Ｐゴシック"/>
              <a:ea typeface="ＭＳ Ｐゴシック"/>
            </a:rPr>
            <a:t>-1</a:t>
          </a:r>
          <a:r>
            <a:rPr lang="en-US" altLang="ja-JP" sz="11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 </a:t>
          </a:r>
          <a:r>
            <a:rPr lang="ja-JP" altLang="en-US" sz="11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を指定すると、</a:t>
          </a:r>
          <a:r>
            <a:rPr lang="ja-JP" altLang="en-US" sz="1100" b="0" i="0" u="none" strike="noStrike" baseline="0">
              <a:solidFill>
                <a:srgbClr val="0000FF"/>
              </a:solidFill>
              <a:latin typeface="ＭＳ Ｐゴシック"/>
              <a:ea typeface="ＭＳ Ｐゴシック"/>
            </a:rPr>
            <a:t>検査値 以上の最小の値</a:t>
          </a:r>
          <a:r>
            <a:rPr lang="ja-JP" altLang="en-US" sz="11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が検索されます。降順で並べ替えられている必要があります。</a:t>
          </a:r>
          <a:endParaRPr lang="en-US" altLang="ja-JP" sz="1100" b="0" i="0" u="none" strike="noStrike" baseline="0">
            <a:solidFill>
              <a:srgbClr val="000000"/>
            </a:solidFill>
            <a:latin typeface="ＭＳ Ｐゴシック"/>
            <a:ea typeface="ＭＳ Ｐゴシック"/>
          </a:endParaRPr>
        </a:p>
        <a:p>
          <a:pPr algn="l" rtl="0">
            <a:lnSpc>
              <a:spcPts val="1300"/>
            </a:lnSpc>
            <a:defRPr sz="1000"/>
          </a:pPr>
          <a:endParaRPr lang="ja-JP" altLang="en-US" sz="1100" b="0" i="0" u="none" strike="noStrike" baseline="0">
            <a:solidFill>
              <a:srgbClr val="000000"/>
            </a:solidFill>
            <a:latin typeface="ＭＳ Ｐゴシック"/>
            <a:ea typeface="ＭＳ Ｐゴシック"/>
          </a:endParaRPr>
        </a:p>
        <a:p>
          <a:pPr algn="l" rtl="0">
            <a:lnSpc>
              <a:spcPts val="1200"/>
            </a:lnSpc>
            <a:defRPr sz="1000"/>
          </a:pPr>
          <a:r>
            <a:rPr lang="ja-JP" altLang="en-US" sz="11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　　　　　　　　　　　　　　　　　　　　　　　　　　　　使用例：右</a:t>
          </a:r>
        </a:p>
      </xdr:txBody>
    </xdr:sp>
    <xdr:clientData/>
  </xdr:twoCellAnchor>
  <xdr:twoCellAnchor>
    <xdr:from>
      <xdr:col>7</xdr:col>
      <xdr:colOff>314326</xdr:colOff>
      <xdr:row>28</xdr:row>
      <xdr:rowOff>47625</xdr:rowOff>
    </xdr:from>
    <xdr:to>
      <xdr:col>13</xdr:col>
      <xdr:colOff>47625</xdr:colOff>
      <xdr:row>31</xdr:row>
      <xdr:rowOff>28575</xdr:rowOff>
    </xdr:to>
    <xdr:sp macro="" textlink="">
      <xdr:nvSpPr>
        <xdr:cNvPr id="8196" name="AutoShape 4"/>
        <xdr:cNvSpPr>
          <a:spLocks noChangeArrowheads="1"/>
        </xdr:cNvSpPr>
      </xdr:nvSpPr>
      <xdr:spPr bwMode="auto">
        <a:xfrm>
          <a:off x="4467226" y="4943475"/>
          <a:ext cx="2352674" cy="495300"/>
        </a:xfrm>
        <a:prstGeom prst="wedgeRoundRectCallout">
          <a:avLst>
            <a:gd name="adj1" fmla="val 10929"/>
            <a:gd name="adj2" fmla="val 148250"/>
            <a:gd name="adj3" fmla="val 16667"/>
          </a:avLst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lnSpc>
              <a:spcPts val="1300"/>
            </a:lnSpc>
            <a:defRPr sz="1000"/>
          </a:pPr>
          <a:r>
            <a:rPr lang="en-US" altLang="ja-JP" sz="11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=</a:t>
          </a:r>
          <a:r>
            <a:rPr lang="en-US" altLang="ja-JP" sz="1100" b="0" i="0" u="none" strike="noStrike" baseline="0">
              <a:solidFill>
                <a:srgbClr val="0000FF"/>
              </a:solidFill>
              <a:latin typeface="ＭＳ Ｐゴシック"/>
              <a:ea typeface="+mn-ea"/>
            </a:rPr>
            <a:t>MATCH(G35,G30:G33,</a:t>
          </a:r>
          <a:r>
            <a:rPr lang="en-US" altLang="ja-JP" sz="1100" b="0" i="0" u="none" strike="noStrike" baseline="0">
              <a:solidFill>
                <a:srgbClr val="FF0000"/>
              </a:solidFill>
              <a:latin typeface="ＭＳ Ｐゴシック"/>
              <a:ea typeface="ＭＳ Ｐゴシック"/>
            </a:rPr>
            <a:t>1</a:t>
          </a:r>
          <a:r>
            <a:rPr lang="en-US" altLang="ja-JP" sz="1100" b="0" i="0" u="none" strike="noStrike" baseline="0">
              <a:solidFill>
                <a:srgbClr val="0000FF"/>
              </a:solidFill>
              <a:latin typeface="ＭＳ Ｐゴシック"/>
              <a:ea typeface="ＭＳ Ｐゴシック"/>
            </a:rPr>
            <a:t>)</a:t>
          </a:r>
        </a:p>
        <a:p>
          <a:pPr algn="l" rtl="0">
            <a:lnSpc>
              <a:spcPts val="1300"/>
            </a:lnSpc>
            <a:defRPr sz="1000"/>
          </a:pPr>
          <a:r>
            <a:rPr lang="ja-JP" altLang="en-US" sz="11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値以下の最大値の相対値を調べる</a:t>
          </a:r>
        </a:p>
        <a:p>
          <a:pPr algn="l" rtl="0">
            <a:lnSpc>
              <a:spcPts val="1200"/>
            </a:lnSpc>
            <a:defRPr sz="1000"/>
          </a:pPr>
          <a:endParaRPr lang="ja-JP" altLang="en-US" sz="1100" b="0" i="0" u="none" strike="noStrike" baseline="0">
            <a:solidFill>
              <a:srgbClr val="000000"/>
            </a:solidFill>
            <a:latin typeface="ＭＳ Ｐゴシック"/>
            <a:ea typeface="ＭＳ Ｐゴシック"/>
          </a:endParaRPr>
        </a:p>
      </xdr:txBody>
    </xdr:sp>
    <xdr:clientData/>
  </xdr:twoCellAnchor>
  <xdr:twoCellAnchor>
    <xdr:from>
      <xdr:col>2</xdr:col>
      <xdr:colOff>285751</xdr:colOff>
      <xdr:row>28</xdr:row>
      <xdr:rowOff>161925</xdr:rowOff>
    </xdr:from>
    <xdr:to>
      <xdr:col>5</xdr:col>
      <xdr:colOff>295276</xdr:colOff>
      <xdr:row>31</xdr:row>
      <xdr:rowOff>104775</xdr:rowOff>
    </xdr:to>
    <xdr:sp macro="" textlink="">
      <xdr:nvSpPr>
        <xdr:cNvPr id="8197" name="AutoShape 5"/>
        <xdr:cNvSpPr>
          <a:spLocks noChangeArrowheads="1"/>
        </xdr:cNvSpPr>
      </xdr:nvSpPr>
      <xdr:spPr bwMode="auto">
        <a:xfrm>
          <a:off x="1152526" y="5057775"/>
          <a:ext cx="1924050" cy="457200"/>
        </a:xfrm>
        <a:prstGeom prst="wedgeRoundRectCallout">
          <a:avLst>
            <a:gd name="adj1" fmla="val -15863"/>
            <a:gd name="adj2" fmla="val 144745"/>
            <a:gd name="adj3" fmla="val 16667"/>
          </a:avLst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lnSpc>
              <a:spcPts val="1300"/>
            </a:lnSpc>
            <a:defRPr sz="1000"/>
          </a:pPr>
          <a:r>
            <a:rPr lang="en-US" altLang="ja-JP" sz="11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=</a:t>
          </a:r>
          <a:r>
            <a:rPr lang="en-US" altLang="ja-JP" sz="1100" b="0" i="0" u="none" strike="noStrike" baseline="0">
              <a:solidFill>
                <a:srgbClr val="0000FF"/>
              </a:solidFill>
              <a:latin typeface="ＭＳ Ｐゴシック"/>
              <a:ea typeface="+mn-ea"/>
            </a:rPr>
            <a:t>MATCH(B35,B30:B33,</a:t>
          </a:r>
          <a:r>
            <a:rPr lang="en-US" altLang="ja-JP" sz="1100" b="0" i="0" u="none" strike="noStrike" baseline="0">
              <a:solidFill>
                <a:srgbClr val="FF0000"/>
              </a:solidFill>
              <a:latin typeface="ＭＳ Ｐゴシック"/>
              <a:ea typeface="ＭＳ Ｐゴシック"/>
            </a:rPr>
            <a:t>0</a:t>
          </a:r>
          <a:r>
            <a:rPr lang="en-US" altLang="ja-JP" sz="1100" b="0" i="0" u="none" strike="noStrike" baseline="0">
              <a:solidFill>
                <a:srgbClr val="0000FF"/>
              </a:solidFill>
              <a:latin typeface="ＭＳ Ｐゴシック"/>
              <a:ea typeface="ＭＳ Ｐゴシック"/>
            </a:rPr>
            <a:t>)</a:t>
          </a:r>
        </a:p>
        <a:p>
          <a:pPr algn="l" rtl="0">
            <a:lnSpc>
              <a:spcPts val="1300"/>
            </a:lnSpc>
            <a:defRPr sz="1000"/>
          </a:pPr>
          <a:r>
            <a:rPr lang="ja-JP" altLang="en-US" sz="11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一致する値の相対値を調べる</a:t>
          </a:r>
        </a:p>
        <a:p>
          <a:pPr algn="l" rtl="0">
            <a:lnSpc>
              <a:spcPts val="1200"/>
            </a:lnSpc>
            <a:defRPr sz="1000"/>
          </a:pPr>
          <a:endParaRPr lang="ja-JP" altLang="en-US" sz="1100" b="0" i="0" u="none" strike="noStrike" baseline="0">
            <a:solidFill>
              <a:srgbClr val="000000"/>
            </a:solidFill>
            <a:latin typeface="ＭＳ Ｐゴシック"/>
            <a:ea typeface="ＭＳ Ｐゴシック"/>
          </a:endParaRPr>
        </a:p>
      </xdr:txBody>
    </xdr:sp>
    <xdr:clientData/>
  </xdr:twoCellAnchor>
  <xdr:twoCellAnchor>
    <xdr:from>
      <xdr:col>5</xdr:col>
      <xdr:colOff>190500</xdr:colOff>
      <xdr:row>76</xdr:row>
      <xdr:rowOff>142875</xdr:rowOff>
    </xdr:from>
    <xdr:to>
      <xdr:col>8</xdr:col>
      <xdr:colOff>238125</xdr:colOff>
      <xdr:row>78</xdr:row>
      <xdr:rowOff>85725</xdr:rowOff>
    </xdr:to>
    <xdr:sp macro="" textlink="">
      <xdr:nvSpPr>
        <xdr:cNvPr id="8198" name="AutoShape 6"/>
        <xdr:cNvSpPr>
          <a:spLocks noChangeArrowheads="1"/>
        </xdr:cNvSpPr>
      </xdr:nvSpPr>
      <xdr:spPr bwMode="auto">
        <a:xfrm>
          <a:off x="2971800" y="12792075"/>
          <a:ext cx="1905000" cy="295275"/>
        </a:xfrm>
        <a:prstGeom prst="wedgeRoundRectCallout">
          <a:avLst>
            <a:gd name="adj1" fmla="val -92083"/>
            <a:gd name="adj2" fmla="val 43333"/>
            <a:gd name="adj3" fmla="val 16667"/>
          </a:avLst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en-US" altLang="ja-JP" sz="11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=</a:t>
          </a:r>
          <a:r>
            <a:rPr lang="en-US" altLang="ja-JP" sz="1100" b="1" i="0" u="none" strike="noStrike" baseline="0">
              <a:solidFill>
                <a:srgbClr val="0000FF"/>
              </a:solidFill>
              <a:latin typeface="ＭＳ Ｐゴシック"/>
              <a:ea typeface="ＭＳ Ｐゴシック"/>
            </a:rPr>
            <a:t>MATCH(C66,C53:C63,</a:t>
          </a:r>
          <a:r>
            <a:rPr lang="en-US" altLang="ja-JP" sz="1100" b="1" i="0" u="none" strike="noStrike" baseline="0">
              <a:solidFill>
                <a:srgbClr val="FF0000"/>
              </a:solidFill>
              <a:latin typeface="ＭＳ Ｐゴシック"/>
              <a:ea typeface="ＭＳ Ｐゴシック"/>
            </a:rPr>
            <a:t>1</a:t>
          </a:r>
          <a:r>
            <a:rPr lang="en-US" altLang="ja-JP" sz="1100" b="1" i="0" u="none" strike="noStrike" baseline="0">
              <a:solidFill>
                <a:srgbClr val="0000FF"/>
              </a:solidFill>
              <a:latin typeface="ＭＳ Ｐゴシック"/>
              <a:ea typeface="ＭＳ Ｐゴシック"/>
            </a:rPr>
            <a:t>)</a:t>
          </a:r>
        </a:p>
      </xdr:txBody>
    </xdr:sp>
    <xdr:clientData/>
  </xdr:twoCellAnchor>
  <xdr:twoCellAnchor>
    <xdr:from>
      <xdr:col>5</xdr:col>
      <xdr:colOff>190500</xdr:colOff>
      <xdr:row>78</xdr:row>
      <xdr:rowOff>142875</xdr:rowOff>
    </xdr:from>
    <xdr:to>
      <xdr:col>8</xdr:col>
      <xdr:colOff>238125</xdr:colOff>
      <xdr:row>80</xdr:row>
      <xdr:rowOff>85725</xdr:rowOff>
    </xdr:to>
    <xdr:sp macro="" textlink="">
      <xdr:nvSpPr>
        <xdr:cNvPr id="8199" name="AutoShape 7"/>
        <xdr:cNvSpPr>
          <a:spLocks noChangeArrowheads="1"/>
        </xdr:cNvSpPr>
      </xdr:nvSpPr>
      <xdr:spPr bwMode="auto">
        <a:xfrm>
          <a:off x="2971800" y="13144500"/>
          <a:ext cx="1905000" cy="323850"/>
        </a:xfrm>
        <a:prstGeom prst="wedgeRoundRectCallout">
          <a:avLst>
            <a:gd name="adj1" fmla="val -92083"/>
            <a:gd name="adj2" fmla="val -10000"/>
            <a:gd name="adj3" fmla="val 16667"/>
          </a:avLst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en-US" altLang="ja-JP" sz="11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=</a:t>
          </a:r>
          <a:r>
            <a:rPr lang="en-US" altLang="ja-JP" sz="1100" b="1" i="0" u="none" strike="noStrike" baseline="0">
              <a:solidFill>
                <a:srgbClr val="0000FF"/>
              </a:solidFill>
              <a:latin typeface="ＭＳ Ｐゴシック"/>
              <a:ea typeface="ＭＳ Ｐゴシック"/>
            </a:rPr>
            <a:t>MATCH(C67,D52:F52,</a:t>
          </a:r>
          <a:r>
            <a:rPr lang="en-US" altLang="ja-JP" sz="1100" b="1" i="0" u="none" strike="noStrike" baseline="0">
              <a:solidFill>
                <a:srgbClr val="FF0000"/>
              </a:solidFill>
              <a:latin typeface="ＭＳ Ｐゴシック"/>
              <a:ea typeface="ＭＳ Ｐゴシック"/>
            </a:rPr>
            <a:t>0</a:t>
          </a:r>
          <a:r>
            <a:rPr lang="en-US" altLang="ja-JP" sz="1100" b="1" i="0" u="none" strike="noStrike" baseline="0">
              <a:solidFill>
                <a:srgbClr val="0000FF"/>
              </a:solidFill>
              <a:latin typeface="ＭＳ Ｐゴシック"/>
              <a:ea typeface="ＭＳ Ｐゴシック"/>
            </a:rPr>
            <a:t>)</a:t>
          </a:r>
        </a:p>
      </xdr:txBody>
    </xdr:sp>
    <xdr:clientData/>
  </xdr:twoCellAnchor>
  <xdr:twoCellAnchor>
    <xdr:from>
      <xdr:col>3</xdr:col>
      <xdr:colOff>514350</xdr:colOff>
      <xdr:row>82</xdr:row>
      <xdr:rowOff>47625</xdr:rowOff>
    </xdr:from>
    <xdr:to>
      <xdr:col>7</xdr:col>
      <xdr:colOff>352425</xdr:colOff>
      <xdr:row>83</xdr:row>
      <xdr:rowOff>161925</xdr:rowOff>
    </xdr:to>
    <xdr:sp macro="" textlink="">
      <xdr:nvSpPr>
        <xdr:cNvPr id="8200" name="AutoShape 8"/>
        <xdr:cNvSpPr>
          <a:spLocks noChangeArrowheads="1"/>
        </xdr:cNvSpPr>
      </xdr:nvSpPr>
      <xdr:spPr bwMode="auto">
        <a:xfrm>
          <a:off x="1924050" y="13792200"/>
          <a:ext cx="2581275" cy="304800"/>
        </a:xfrm>
        <a:prstGeom prst="wedgeRoundRectCallout">
          <a:avLst>
            <a:gd name="adj1" fmla="val -73616"/>
            <a:gd name="adj2" fmla="val -33333"/>
            <a:gd name="adj3" fmla="val 16667"/>
          </a:avLst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en-US" altLang="ja-JP" sz="11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=</a:t>
          </a:r>
          <a:r>
            <a:rPr lang="en-US" altLang="ja-JP" sz="1100" b="1" i="0" u="none" strike="noStrike" baseline="0">
              <a:solidFill>
                <a:srgbClr val="0000FF"/>
              </a:solidFill>
              <a:latin typeface="ＭＳ Ｐゴシック"/>
              <a:ea typeface="ＭＳ Ｐゴシック"/>
            </a:rPr>
            <a:t>INDEX(D63:F73,D66,D67)</a:t>
          </a:r>
        </a:p>
      </xdr:txBody>
    </xdr:sp>
    <xdr:clientData/>
  </xdr:twoCellAnchor>
  <xdr:twoCellAnchor>
    <xdr:from>
      <xdr:col>0</xdr:col>
      <xdr:colOff>466725</xdr:colOff>
      <xdr:row>58</xdr:row>
      <xdr:rowOff>142875</xdr:rowOff>
    </xdr:from>
    <xdr:to>
      <xdr:col>2</xdr:col>
      <xdr:colOff>466725</xdr:colOff>
      <xdr:row>61</xdr:row>
      <xdr:rowOff>85725</xdr:rowOff>
    </xdr:to>
    <xdr:sp macro="" textlink="">
      <xdr:nvSpPr>
        <xdr:cNvPr id="8201" name="WordArt 9"/>
        <xdr:cNvSpPr>
          <a:spLocks noChangeArrowheads="1" noChangeShapeType="1" noTextEdit="1"/>
        </xdr:cNvSpPr>
      </xdr:nvSpPr>
      <xdr:spPr bwMode="auto">
        <a:xfrm>
          <a:off x="180975" y="9705975"/>
          <a:ext cx="1152525" cy="457200"/>
        </a:xfrm>
        <a:prstGeom prst="rect">
          <a:avLst/>
        </a:prstGeom>
        <a:extLst>
          <a:ext uri="{AF507438-7753-43E0-B8FC-AC1667EBCBE1}">
            <a14:hiddenEffects xmlns:a14="http://schemas.microsoft.com/office/drawing/2010/main">
              <a:effectLst/>
            </a14:hiddenEffects>
          </a:ext>
        </a:extLst>
      </xdr:spPr>
      <xdr:txBody>
        <a:bodyPr wrap="none" fromWordArt="1">
          <a:prstTxWarp prst="textPlain">
            <a:avLst>
              <a:gd name="adj" fmla="val 50000"/>
            </a:avLst>
          </a:prstTxWarp>
        </a:bodyPr>
        <a:lstStyle/>
        <a:p>
          <a:pPr algn="ctr" rtl="0">
            <a:buNone/>
          </a:pPr>
          <a:r>
            <a:rPr lang="ja-JP" altLang="en-US" sz="3600" kern="10" spc="0">
              <a:ln w="9525">
                <a:solidFill>
                  <a:srgbClr val="000000"/>
                </a:solidFill>
                <a:round/>
                <a:headEnd/>
                <a:tailEnd/>
              </a:ln>
              <a:solidFill>
                <a:srgbClr val="FFFFFF"/>
              </a:solidFill>
              <a:effectLst/>
              <a:latin typeface="ＭＳ Ｐゴシック"/>
              <a:ea typeface="ＭＳ Ｐゴシック"/>
            </a:rPr>
            <a:t>解答例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​​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"/>
  <dimension ref="B2:V84"/>
  <sheetViews>
    <sheetView showGridLines="0" tabSelected="1" workbookViewId="0">
      <selection activeCell="C18" sqref="C18"/>
    </sheetView>
  </sheetViews>
  <sheetFormatPr defaultRowHeight="13.5"/>
  <cols>
    <col min="1" max="1" width="2.375" customWidth="1"/>
    <col min="3" max="3" width="7.125" bestFit="1" customWidth="1"/>
    <col min="8" max="12" width="6.375" customWidth="1"/>
    <col min="13" max="13" width="2.5" bestFit="1" customWidth="1"/>
    <col min="14" max="22" width="3.625" customWidth="1"/>
    <col min="23" max="23" width="5.5" customWidth="1"/>
    <col min="24" max="24" width="11.625" customWidth="1"/>
    <col min="25" max="25" width="3.375" customWidth="1"/>
  </cols>
  <sheetData>
    <row r="2" spans="2:6">
      <c r="B2" t="s">
        <v>15</v>
      </c>
    </row>
    <row r="3" spans="2:6">
      <c r="B3" s="16" t="s">
        <v>0</v>
      </c>
      <c r="C3" s="16" t="s">
        <v>1</v>
      </c>
      <c r="D3" s="17" t="s">
        <v>2</v>
      </c>
      <c r="E3" s="17"/>
      <c r="F3" s="17"/>
    </row>
    <row r="4" spans="2:6">
      <c r="B4" s="16"/>
      <c r="C4" s="16"/>
      <c r="D4" s="3">
        <v>1</v>
      </c>
      <c r="E4" s="3">
        <v>2</v>
      </c>
      <c r="F4" s="3">
        <v>3</v>
      </c>
    </row>
    <row r="5" spans="2:6">
      <c r="B5" s="1" t="s">
        <v>3</v>
      </c>
      <c r="C5" s="1">
        <v>1</v>
      </c>
      <c r="D5" s="4">
        <v>4500</v>
      </c>
      <c r="E5" s="4">
        <v>12830</v>
      </c>
      <c r="F5" s="4">
        <v>24300</v>
      </c>
    </row>
    <row r="6" spans="2:6">
      <c r="B6" s="1" t="s">
        <v>4</v>
      </c>
      <c r="C6" s="1">
        <v>5</v>
      </c>
      <c r="D6" s="4">
        <v>4870</v>
      </c>
      <c r="E6" s="4">
        <v>13880</v>
      </c>
      <c r="F6" s="4">
        <v>26300</v>
      </c>
    </row>
    <row r="7" spans="2:6">
      <c r="B7" s="1" t="s">
        <v>5</v>
      </c>
      <c r="C7" s="1">
        <v>7</v>
      </c>
      <c r="D7" s="4">
        <v>5640</v>
      </c>
      <c r="E7" s="4">
        <v>16080</v>
      </c>
      <c r="F7" s="4">
        <v>30460</v>
      </c>
    </row>
    <row r="8" spans="2:6">
      <c r="B8" s="1" t="s">
        <v>6</v>
      </c>
      <c r="C8" s="1">
        <v>10</v>
      </c>
      <c r="D8" s="4">
        <v>6410</v>
      </c>
      <c r="E8" s="4">
        <v>18270</v>
      </c>
      <c r="F8" s="4">
        <v>34620</v>
      </c>
    </row>
    <row r="9" spans="2:6">
      <c r="B9" s="1" t="s">
        <v>7</v>
      </c>
      <c r="C9" s="1">
        <v>13</v>
      </c>
      <c r="D9" s="4">
        <v>7120</v>
      </c>
      <c r="E9" s="4">
        <v>20300</v>
      </c>
      <c r="F9" s="4">
        <v>38450</v>
      </c>
    </row>
    <row r="10" spans="2:6">
      <c r="B10" s="1" t="s">
        <v>8</v>
      </c>
      <c r="C10" s="1">
        <v>16</v>
      </c>
      <c r="D10" s="4">
        <v>8620</v>
      </c>
      <c r="E10" s="4">
        <v>24570</v>
      </c>
      <c r="F10" s="4">
        <v>46550</v>
      </c>
    </row>
    <row r="11" spans="2:6">
      <c r="B11" s="1" t="s">
        <v>9</v>
      </c>
      <c r="C11" s="1">
        <v>20</v>
      </c>
      <c r="D11" s="4">
        <v>10210</v>
      </c>
      <c r="E11" s="4">
        <v>29100</v>
      </c>
      <c r="F11" s="4">
        <v>55140</v>
      </c>
    </row>
    <row r="12" spans="2:6">
      <c r="B12" s="1" t="s">
        <v>10</v>
      </c>
      <c r="C12" s="1">
        <v>25</v>
      </c>
      <c r="D12" s="4">
        <v>11650</v>
      </c>
      <c r="E12" s="4">
        <v>33210</v>
      </c>
      <c r="F12" s="4">
        <v>62910</v>
      </c>
    </row>
    <row r="13" spans="2:6">
      <c r="B13" s="1" t="s">
        <v>11</v>
      </c>
      <c r="C13" s="1">
        <v>31</v>
      </c>
      <c r="D13" s="4">
        <v>12480</v>
      </c>
      <c r="E13" s="4">
        <v>35570</v>
      </c>
      <c r="F13" s="4">
        <v>67400</v>
      </c>
    </row>
    <row r="14" spans="2:6">
      <c r="B14" s="1" t="s">
        <v>12</v>
      </c>
      <c r="C14" s="1">
        <v>38</v>
      </c>
      <c r="D14" s="4">
        <v>13190</v>
      </c>
      <c r="E14" s="4">
        <v>37600</v>
      </c>
      <c r="F14" s="4">
        <v>71230</v>
      </c>
    </row>
    <row r="15" spans="2:6">
      <c r="B15" s="1" t="s">
        <v>13</v>
      </c>
      <c r="C15" s="1">
        <v>45</v>
      </c>
      <c r="D15" s="4">
        <v>13950</v>
      </c>
      <c r="E15" s="4">
        <v>39760</v>
      </c>
      <c r="F15" s="4">
        <v>75330</v>
      </c>
    </row>
    <row r="17" spans="2:7" ht="14.25" thickBot="1">
      <c r="D17" t="s">
        <v>17</v>
      </c>
    </row>
    <row r="18" spans="2:7" ht="15" thickTop="1" thickBot="1">
      <c r="B18" s="11" t="s">
        <v>0</v>
      </c>
      <c r="C18" s="12">
        <v>9</v>
      </c>
      <c r="D18" s="21"/>
    </row>
    <row r="19" spans="2:7" ht="15" thickTop="1" thickBot="1">
      <c r="B19" s="11" t="s">
        <v>14</v>
      </c>
      <c r="C19" s="12">
        <v>2</v>
      </c>
      <c r="D19" s="21"/>
    </row>
    <row r="20" spans="2:7" ht="14.25" thickTop="1"/>
    <row r="21" spans="2:7" ht="14.25" thickBot="1">
      <c r="B21" s="18" t="s">
        <v>16</v>
      </c>
      <c r="C21" s="18"/>
    </row>
    <row r="22" spans="2:7" ht="15" thickTop="1" thickBot="1">
      <c r="B22" s="14"/>
      <c r="C22" s="15"/>
    </row>
    <row r="23" spans="2:7" ht="14.25" thickTop="1"/>
    <row r="28" spans="2:7">
      <c r="B28" t="s">
        <v>27</v>
      </c>
      <c r="G28" t="s">
        <v>28</v>
      </c>
    </row>
    <row r="29" spans="2:7">
      <c r="B29" t="s">
        <v>23</v>
      </c>
      <c r="G29" t="s">
        <v>24</v>
      </c>
    </row>
    <row r="30" spans="2:7">
      <c r="B30" s="6" t="s">
        <v>19</v>
      </c>
      <c r="C30" s="20"/>
      <c r="G30" s="2">
        <v>1</v>
      </c>
    </row>
    <row r="31" spans="2:7">
      <c r="B31" s="6" t="s">
        <v>20</v>
      </c>
      <c r="C31" s="20"/>
      <c r="G31" s="2">
        <v>4</v>
      </c>
    </row>
    <row r="32" spans="2:7">
      <c r="B32" s="6" t="s">
        <v>21</v>
      </c>
      <c r="C32" s="20"/>
      <c r="G32" s="2">
        <v>10</v>
      </c>
    </row>
    <row r="33" spans="2:22">
      <c r="B33" s="6" t="s">
        <v>22</v>
      </c>
      <c r="C33" s="20"/>
      <c r="G33" s="2">
        <v>15</v>
      </c>
    </row>
    <row r="34" spans="2:22" ht="14.25" thickBot="1"/>
    <row r="35" spans="2:22" ht="15" thickTop="1" thickBot="1">
      <c r="B35" s="19" t="s">
        <v>19</v>
      </c>
      <c r="C35" s="7" t="s">
        <v>25</v>
      </c>
      <c r="D35" s="9">
        <f>MATCH(B35,B30:B33,0)</f>
        <v>1</v>
      </c>
      <c r="E35" s="8" t="s">
        <v>26</v>
      </c>
      <c r="F35" s="8"/>
      <c r="G35" s="10">
        <v>5</v>
      </c>
      <c r="H35" t="s">
        <v>29</v>
      </c>
      <c r="K35" s="9">
        <f>MATCH(G35,G30:G33,1)</f>
        <v>2</v>
      </c>
      <c r="L35" t="s">
        <v>26</v>
      </c>
    </row>
    <row r="36" spans="2:22" ht="14.25" thickTop="1"/>
    <row r="38" spans="2:22">
      <c r="M38" t="s">
        <v>18</v>
      </c>
    </row>
    <row r="39" spans="2:22">
      <c r="M39" s="5"/>
      <c r="N39" s="5">
        <v>1</v>
      </c>
      <c r="O39" s="5">
        <v>2</v>
      </c>
      <c r="P39" s="5">
        <v>3</v>
      </c>
      <c r="Q39" s="5">
        <v>4</v>
      </c>
      <c r="R39" s="5">
        <v>5</v>
      </c>
      <c r="S39" s="5">
        <v>6</v>
      </c>
      <c r="T39" s="5">
        <v>7</v>
      </c>
      <c r="U39" s="5">
        <v>8</v>
      </c>
      <c r="V39" s="5">
        <v>9</v>
      </c>
    </row>
    <row r="40" spans="2:22">
      <c r="M40" s="5">
        <v>1</v>
      </c>
      <c r="N40" s="2">
        <f t="shared" ref="N40:V48" si="0">$M40*N$39</f>
        <v>1</v>
      </c>
      <c r="O40" s="2">
        <f t="shared" si="0"/>
        <v>2</v>
      </c>
      <c r="P40" s="2">
        <f t="shared" si="0"/>
        <v>3</v>
      </c>
      <c r="Q40" s="2">
        <f t="shared" si="0"/>
        <v>4</v>
      </c>
      <c r="R40" s="2">
        <f t="shared" si="0"/>
        <v>5</v>
      </c>
      <c r="S40" s="2">
        <f t="shared" si="0"/>
        <v>6</v>
      </c>
      <c r="T40" s="2">
        <f t="shared" si="0"/>
        <v>7</v>
      </c>
      <c r="U40" s="2">
        <f t="shared" si="0"/>
        <v>8</v>
      </c>
      <c r="V40" s="2">
        <f t="shared" si="0"/>
        <v>9</v>
      </c>
    </row>
    <row r="41" spans="2:22">
      <c r="M41" s="5">
        <v>2</v>
      </c>
      <c r="N41" s="2">
        <f t="shared" si="0"/>
        <v>2</v>
      </c>
      <c r="O41" s="2">
        <f t="shared" si="0"/>
        <v>4</v>
      </c>
      <c r="P41" s="2">
        <f t="shared" si="0"/>
        <v>6</v>
      </c>
      <c r="Q41" s="2">
        <f t="shared" si="0"/>
        <v>8</v>
      </c>
      <c r="R41" s="2">
        <f t="shared" si="0"/>
        <v>10</v>
      </c>
      <c r="S41" s="2">
        <f t="shared" si="0"/>
        <v>12</v>
      </c>
      <c r="T41" s="2">
        <f t="shared" si="0"/>
        <v>14</v>
      </c>
      <c r="U41" s="2">
        <f t="shared" si="0"/>
        <v>16</v>
      </c>
      <c r="V41" s="2">
        <f t="shared" si="0"/>
        <v>18</v>
      </c>
    </row>
    <row r="42" spans="2:22">
      <c r="M42" s="5">
        <v>3</v>
      </c>
      <c r="N42" s="2">
        <f t="shared" si="0"/>
        <v>3</v>
      </c>
      <c r="O42" s="2">
        <f t="shared" si="0"/>
        <v>6</v>
      </c>
      <c r="P42" s="2">
        <f t="shared" si="0"/>
        <v>9</v>
      </c>
      <c r="Q42" s="2">
        <f t="shared" si="0"/>
        <v>12</v>
      </c>
      <c r="R42" s="2">
        <f t="shared" si="0"/>
        <v>15</v>
      </c>
      <c r="S42" s="2">
        <f t="shared" si="0"/>
        <v>18</v>
      </c>
      <c r="T42" s="2">
        <f t="shared" si="0"/>
        <v>21</v>
      </c>
      <c r="U42" s="2">
        <f t="shared" si="0"/>
        <v>24</v>
      </c>
      <c r="V42" s="2">
        <f t="shared" si="0"/>
        <v>27</v>
      </c>
    </row>
    <row r="43" spans="2:22">
      <c r="M43" s="5">
        <v>4</v>
      </c>
      <c r="N43" s="2">
        <f t="shared" si="0"/>
        <v>4</v>
      </c>
      <c r="O43" s="2">
        <f t="shared" si="0"/>
        <v>8</v>
      </c>
      <c r="P43" s="2">
        <f t="shared" si="0"/>
        <v>12</v>
      </c>
      <c r="Q43" s="2">
        <f t="shared" si="0"/>
        <v>16</v>
      </c>
      <c r="R43" s="2">
        <f t="shared" si="0"/>
        <v>20</v>
      </c>
      <c r="S43" s="2">
        <f t="shared" si="0"/>
        <v>24</v>
      </c>
      <c r="T43" s="2">
        <f t="shared" si="0"/>
        <v>28</v>
      </c>
      <c r="U43" s="2">
        <f t="shared" si="0"/>
        <v>32</v>
      </c>
      <c r="V43" s="2">
        <f t="shared" si="0"/>
        <v>36</v>
      </c>
    </row>
    <row r="44" spans="2:22">
      <c r="M44" s="5">
        <v>5</v>
      </c>
      <c r="N44" s="2">
        <f t="shared" si="0"/>
        <v>5</v>
      </c>
      <c r="O44" s="2">
        <f t="shared" si="0"/>
        <v>10</v>
      </c>
      <c r="P44" s="2">
        <f t="shared" si="0"/>
        <v>15</v>
      </c>
      <c r="Q44" s="2">
        <f t="shared" si="0"/>
        <v>20</v>
      </c>
      <c r="R44" s="2">
        <f t="shared" si="0"/>
        <v>25</v>
      </c>
      <c r="S44" s="2">
        <f t="shared" si="0"/>
        <v>30</v>
      </c>
      <c r="T44" s="2">
        <f t="shared" si="0"/>
        <v>35</v>
      </c>
      <c r="U44" s="2">
        <f t="shared" si="0"/>
        <v>40</v>
      </c>
      <c r="V44" s="2">
        <f t="shared" si="0"/>
        <v>45</v>
      </c>
    </row>
    <row r="45" spans="2:22">
      <c r="M45" s="5">
        <v>6</v>
      </c>
      <c r="N45" s="2">
        <f t="shared" si="0"/>
        <v>6</v>
      </c>
      <c r="O45" s="2">
        <f t="shared" si="0"/>
        <v>12</v>
      </c>
      <c r="P45" s="2">
        <f t="shared" si="0"/>
        <v>18</v>
      </c>
      <c r="Q45" s="2">
        <f t="shared" si="0"/>
        <v>24</v>
      </c>
      <c r="R45" s="2">
        <f t="shared" si="0"/>
        <v>30</v>
      </c>
      <c r="S45" s="2">
        <f t="shared" si="0"/>
        <v>36</v>
      </c>
      <c r="T45" s="2">
        <f t="shared" si="0"/>
        <v>42</v>
      </c>
      <c r="U45" s="2">
        <f t="shared" si="0"/>
        <v>48</v>
      </c>
      <c r="V45" s="2">
        <f t="shared" si="0"/>
        <v>54</v>
      </c>
    </row>
    <row r="46" spans="2:22">
      <c r="M46" s="5">
        <v>7</v>
      </c>
      <c r="N46" s="2">
        <f t="shared" si="0"/>
        <v>7</v>
      </c>
      <c r="O46" s="2">
        <f t="shared" si="0"/>
        <v>14</v>
      </c>
      <c r="P46" s="2">
        <f t="shared" si="0"/>
        <v>21</v>
      </c>
      <c r="Q46" s="2">
        <f t="shared" si="0"/>
        <v>28</v>
      </c>
      <c r="R46" s="2">
        <f t="shared" si="0"/>
        <v>35</v>
      </c>
      <c r="S46" s="2">
        <f t="shared" si="0"/>
        <v>42</v>
      </c>
      <c r="T46" s="2">
        <f t="shared" si="0"/>
        <v>49</v>
      </c>
      <c r="U46" s="2">
        <f t="shared" si="0"/>
        <v>56</v>
      </c>
      <c r="V46" s="2">
        <f t="shared" si="0"/>
        <v>63</v>
      </c>
    </row>
    <row r="47" spans="2:22">
      <c r="M47" s="5">
        <v>8</v>
      </c>
      <c r="N47" s="2">
        <f t="shared" si="0"/>
        <v>8</v>
      </c>
      <c r="O47" s="2">
        <f t="shared" si="0"/>
        <v>16</v>
      </c>
      <c r="P47" s="2">
        <f t="shared" si="0"/>
        <v>24</v>
      </c>
      <c r="Q47" s="2">
        <f t="shared" si="0"/>
        <v>32</v>
      </c>
      <c r="R47" s="2">
        <f t="shared" si="0"/>
        <v>40</v>
      </c>
      <c r="S47" s="2">
        <f t="shared" si="0"/>
        <v>48</v>
      </c>
      <c r="T47" s="2">
        <f t="shared" si="0"/>
        <v>56</v>
      </c>
      <c r="U47" s="2">
        <f t="shared" si="0"/>
        <v>64</v>
      </c>
      <c r="V47" s="2">
        <f t="shared" si="0"/>
        <v>72</v>
      </c>
    </row>
    <row r="48" spans="2:22">
      <c r="M48" s="5">
        <v>9</v>
      </c>
      <c r="N48" s="2">
        <f t="shared" si="0"/>
        <v>9</v>
      </c>
      <c r="O48" s="2">
        <f t="shared" si="0"/>
        <v>18</v>
      </c>
      <c r="P48" s="2">
        <f t="shared" si="0"/>
        <v>27</v>
      </c>
      <c r="Q48" s="2">
        <f t="shared" si="0"/>
        <v>36</v>
      </c>
      <c r="R48" s="2">
        <f t="shared" si="0"/>
        <v>45</v>
      </c>
      <c r="S48" s="2">
        <f t="shared" si="0"/>
        <v>54</v>
      </c>
      <c r="T48" s="2">
        <f t="shared" si="0"/>
        <v>63</v>
      </c>
      <c r="U48" s="2">
        <f t="shared" si="0"/>
        <v>72</v>
      </c>
      <c r="V48" s="2">
        <f t="shared" si="0"/>
        <v>81</v>
      </c>
    </row>
    <row r="63" spans="2:6">
      <c r="B63" t="s">
        <v>15</v>
      </c>
    </row>
    <row r="64" spans="2:6">
      <c r="B64" s="16" t="s">
        <v>0</v>
      </c>
      <c r="C64" s="16" t="s">
        <v>1</v>
      </c>
      <c r="D64" s="17" t="s">
        <v>2</v>
      </c>
      <c r="E64" s="17"/>
      <c r="F64" s="17"/>
    </row>
    <row r="65" spans="2:6">
      <c r="B65" s="16"/>
      <c r="C65" s="16"/>
      <c r="D65" s="3">
        <v>1</v>
      </c>
      <c r="E65" s="3">
        <v>2</v>
      </c>
      <c r="F65" s="3">
        <v>3</v>
      </c>
    </row>
    <row r="66" spans="2:6">
      <c r="B66" s="1" t="s">
        <v>3</v>
      </c>
      <c r="C66" s="1">
        <v>1</v>
      </c>
      <c r="D66" s="4">
        <v>4500</v>
      </c>
      <c r="E66" s="4">
        <v>12830</v>
      </c>
      <c r="F66" s="4">
        <v>24300</v>
      </c>
    </row>
    <row r="67" spans="2:6">
      <c r="B67" s="1" t="s">
        <v>4</v>
      </c>
      <c r="C67" s="1">
        <v>5</v>
      </c>
      <c r="D67" s="4">
        <v>4870</v>
      </c>
      <c r="E67" s="4">
        <v>13880</v>
      </c>
      <c r="F67" s="4">
        <v>26300</v>
      </c>
    </row>
    <row r="68" spans="2:6">
      <c r="B68" s="1" t="s">
        <v>5</v>
      </c>
      <c r="C68" s="1">
        <v>7</v>
      </c>
      <c r="D68" s="4">
        <v>5640</v>
      </c>
      <c r="E68" s="4">
        <v>16080</v>
      </c>
      <c r="F68" s="4">
        <v>30460</v>
      </c>
    </row>
    <row r="69" spans="2:6">
      <c r="B69" s="1" t="s">
        <v>6</v>
      </c>
      <c r="C69" s="1">
        <v>10</v>
      </c>
      <c r="D69" s="4">
        <v>6410</v>
      </c>
      <c r="E69" s="4">
        <v>18270</v>
      </c>
      <c r="F69" s="4">
        <v>34620</v>
      </c>
    </row>
    <row r="70" spans="2:6">
      <c r="B70" s="1" t="s">
        <v>7</v>
      </c>
      <c r="C70" s="1">
        <v>13</v>
      </c>
      <c r="D70" s="4">
        <v>7120</v>
      </c>
      <c r="E70" s="4">
        <v>20300</v>
      </c>
      <c r="F70" s="4">
        <v>38450</v>
      </c>
    </row>
    <row r="71" spans="2:6">
      <c r="B71" s="1" t="s">
        <v>8</v>
      </c>
      <c r="C71" s="1">
        <v>16</v>
      </c>
      <c r="D71" s="4">
        <v>8620</v>
      </c>
      <c r="E71" s="4">
        <v>24570</v>
      </c>
      <c r="F71" s="4">
        <v>46550</v>
      </c>
    </row>
    <row r="72" spans="2:6">
      <c r="B72" s="1" t="s">
        <v>9</v>
      </c>
      <c r="C72" s="1">
        <v>20</v>
      </c>
      <c r="D72" s="4">
        <v>10210</v>
      </c>
      <c r="E72" s="4">
        <v>29100</v>
      </c>
      <c r="F72" s="4">
        <v>55140</v>
      </c>
    </row>
    <row r="73" spans="2:6">
      <c r="B73" s="1" t="s">
        <v>10</v>
      </c>
      <c r="C73" s="1">
        <v>25</v>
      </c>
      <c r="D73" s="4">
        <v>11650</v>
      </c>
      <c r="E73" s="4">
        <v>33210</v>
      </c>
      <c r="F73" s="4">
        <v>62910</v>
      </c>
    </row>
    <row r="74" spans="2:6">
      <c r="B74" s="1" t="s">
        <v>11</v>
      </c>
      <c r="C74" s="1">
        <v>31</v>
      </c>
      <c r="D74" s="4">
        <v>12480</v>
      </c>
      <c r="E74" s="4">
        <v>35570</v>
      </c>
      <c r="F74" s="4">
        <v>67400</v>
      </c>
    </row>
    <row r="75" spans="2:6">
      <c r="B75" s="1" t="s">
        <v>12</v>
      </c>
      <c r="C75" s="1">
        <v>38</v>
      </c>
      <c r="D75" s="4">
        <v>13190</v>
      </c>
      <c r="E75" s="4">
        <v>37600</v>
      </c>
      <c r="F75" s="4">
        <v>71230</v>
      </c>
    </row>
    <row r="76" spans="2:6">
      <c r="B76" s="1" t="s">
        <v>13</v>
      </c>
      <c r="C76" s="1">
        <v>45</v>
      </c>
      <c r="D76" s="4">
        <v>13950</v>
      </c>
      <c r="E76" s="4">
        <v>39760</v>
      </c>
      <c r="F76" s="4">
        <v>75330</v>
      </c>
    </row>
    <row r="78" spans="2:6" ht="14.25" thickBot="1">
      <c r="D78" t="s">
        <v>17</v>
      </c>
    </row>
    <row r="79" spans="2:6" ht="15" thickTop="1" thickBot="1">
      <c r="B79" s="11" t="s">
        <v>0</v>
      </c>
      <c r="C79" s="12">
        <v>9</v>
      </c>
      <c r="D79" s="13">
        <f>MATCH(C79,C66:C76,1)</f>
        <v>3</v>
      </c>
    </row>
    <row r="80" spans="2:6" ht="15" thickTop="1" thickBot="1">
      <c r="B80" s="11" t="s">
        <v>14</v>
      </c>
      <c r="C80" s="12">
        <v>2</v>
      </c>
      <c r="D80" s="13">
        <f>MATCH(C80,D65:F65,0)</f>
        <v>2</v>
      </c>
    </row>
    <row r="81" spans="2:3" ht="14.25" thickTop="1"/>
    <row r="82" spans="2:3" ht="14.25" thickBot="1">
      <c r="B82" s="18" t="s">
        <v>16</v>
      </c>
      <c r="C82" s="18"/>
    </row>
    <row r="83" spans="2:3" ht="15" thickTop="1" thickBot="1">
      <c r="B83" s="14">
        <f>INDEX(D66:F76,D79,D80)</f>
        <v>16080</v>
      </c>
      <c r="C83" s="15"/>
    </row>
    <row r="84" spans="2:3" ht="14.25" thickTop="1"/>
  </sheetData>
  <mergeCells count="10">
    <mergeCell ref="B83:C83"/>
    <mergeCell ref="B64:B65"/>
    <mergeCell ref="C64:C65"/>
    <mergeCell ref="D64:F64"/>
    <mergeCell ref="B82:C82"/>
    <mergeCell ref="B22:C22"/>
    <mergeCell ref="B3:B4"/>
    <mergeCell ref="C3:C4"/>
    <mergeCell ref="D3:F3"/>
    <mergeCell ref="B21:C21"/>
  </mergeCells>
  <phoneticPr fontId="2"/>
  <dataValidations count="2">
    <dataValidation imeMode="off" allowBlank="1" showInputMessage="1" showErrorMessage="1" sqref="C18 C79"/>
    <dataValidation type="whole" imeMode="off" allowBlank="1" showInputMessage="1" showErrorMessage="1" promptTitle="入力方法" prompt="整数で１,２,３のいずれかを入力して下さい。_x000a_１：1ヶ月定期_x000a_２：2ヶ月定期_x000a_３：3ヶ月定期　です。" sqref="C19 C80">
      <formula1>1</formula1>
      <formula2>3</formula2>
    </dataValidation>
  </dataValidations>
  <pageMargins left="0.75" right="0.75" top="1" bottom="1" header="0.51200000000000001" footer="0.51200000000000001"/>
  <pageSetup paperSize="9" orientation="portrait" horizontalDpi="400" verticalDpi="400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Match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エムティ・ソフト</dc:creator>
  <cp:lastModifiedBy>エムティ・ソフト</cp:lastModifiedBy>
  <cp:lastPrinted>2001-01-12T07:54:43Z</cp:lastPrinted>
  <dcterms:created xsi:type="dcterms:W3CDTF">2000-03-20T04:00:23Z</dcterms:created>
  <dcterms:modified xsi:type="dcterms:W3CDTF">2018-05-29T19:16:35Z</dcterms:modified>
</cp:coreProperties>
</file>